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paração" sheetId="1" state="visible" r:id="rId1"/>
    <sheet name="Catálogo oficial" sheetId="2" state="visible" r:id="rId2"/>
    <sheet name="Parâmetro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$#,##0.00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2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E3F4E8"/>
      </patternFill>
    </fill>
    <fill>
      <patternFill patternType="solid">
        <fgColor rgb="00FFF6DA"/>
      </patternFill>
    </fill>
    <fill>
      <patternFill patternType="solid">
        <fgColor rgb="00FDEBD9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0" fillId="2" borderId="0" pivotButton="0" quotePrefix="0" xfId="0"/>
    <xf numFmtId="165" fontId="0" fillId="0" borderId="0" pivotButton="0" quotePrefix="0" xfId="0"/>
    <xf numFmtId="0" fontId="1" fillId="0" borderId="0" pivotButton="0" quotePrefix="0" xfId="1"/>
    <xf numFmtId="9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Comparacao" displayName="Comparacao" ref="A1:N41" headerRowCount="1">
  <autoFilter ref="A1:N41"/>
  <tableColumns count="14">
    <tableColumn id="1" name="SKU"/>
    <tableColumn id="2" name="Nosso produto"/>
    <tableColumn id="3" name="No site?"/>
    <tableColumn id="4" name="Preço OMG hoje (R$)"/>
    <tableColumn id="5" name="Situação"/>
    <tableColumn id="6" name="Produto oficial"/>
    <tableColumn id="7" name="Variante"/>
    <tableColumn id="8" name="Preço oficial (US$)"/>
    <tableColumn id="9" name="Preço cheio (US$)"/>
    <tableColumn id="10" name="Disponível lá?"/>
    <tableColumn id="11" name="Link oficial"/>
    <tableColumn id="12" name="Mercadoria sugerida (R$)"/>
    <tableColumn id="13" name="Diferença vs hoje"/>
    <tableColumn id="14" name="Observação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ejuranusa.com/products/advanced-anti-aging-retinol-c-pdrn-serum-1" TargetMode="External" Id="rId1" /><Relationship Type="http://schemas.openxmlformats.org/officeDocument/2006/relationships/hyperlink" Target="https://rejuranusa.com/products/advanced-face-neck-firming-cream" TargetMode="External" Id="rId2" /><Relationship Type="http://schemas.openxmlformats.org/officeDocument/2006/relationships/hyperlink" Target="https://rejuranusa.com/products/advanced-intensive-pigment-corrector" TargetMode="External" Id="rId3" /><Relationship Type="http://schemas.openxmlformats.org/officeDocument/2006/relationships/hyperlink" Target="https://rejuranusa.com/products/calming-lip-balm" TargetMode="External" Id="rId4" /><Relationship Type="http://schemas.openxmlformats.org/officeDocument/2006/relationships/hyperlink" Target="https://rejuranusa.com/products/complete-moisture-routine-1" TargetMode="External" Id="rId5" /><Relationship Type="http://schemas.openxmlformats.org/officeDocument/2006/relationships/hyperlink" Target="https://rejuranusa.com/products/intensive-eye-cream" TargetMode="External" Id="rId6" /><Relationship Type="http://schemas.openxmlformats.org/officeDocument/2006/relationships/hyperlink" Target="https://rejuranusa.com/products/pore-refining-routine" TargetMode="External" Id="rId7" /><Relationship Type="http://schemas.openxmlformats.org/officeDocument/2006/relationships/hyperlink" Target="https://rejuranusa.com/products/triple-radiance-cream" TargetMode="External" Id="rId8" /><Relationship Type="http://schemas.openxmlformats.org/officeDocument/2006/relationships/hyperlink" Target="https://rejuranusa.com/products/dual-effect-ampoule?variant=47922401607923" TargetMode="External" Id="rId9" /><Relationship Type="http://schemas.openxmlformats.org/officeDocument/2006/relationships/hyperlink" Target="https://rejuranusa.com/products/dual-effect-ampoule?variant=47922401607923" TargetMode="External" Id="rId10" /><Relationship Type="http://schemas.openxmlformats.org/officeDocument/2006/relationships/hyperlink" Target="https://rejuranusa.com/products/moisture-bubble-cleansing-water" TargetMode="External" Id="rId11" /><Relationship Type="http://schemas.openxmlformats.org/officeDocument/2006/relationships/hyperlink" Target="https://rejuranusa.com/products/moisture-treatment-cream" TargetMode="External" Id="rId12" /><Relationship Type="http://schemas.openxmlformats.org/officeDocument/2006/relationships/hyperlink" Target="https://rejuranusa.com/products/moisture-treatment-ampoule" TargetMode="External" Id="rId13" /><Relationship Type="http://schemas.openxmlformats.org/officeDocument/2006/relationships/hyperlink" Target="https://rejuranusa.com/products/moisture-treatment-essence" TargetMode="External" Id="rId14" /><Relationship Type="http://schemas.openxmlformats.org/officeDocument/2006/relationships/hyperlink" Target="https://rejuranusa.com/products/moisture-treatment-toner" TargetMode="External" Id="rId15" /><Relationship Type="http://schemas.openxmlformats.org/officeDocument/2006/relationships/hyperlink" Target="https://rejuranusa.com/products/moisture-trio" TargetMode="External" Id="rId16" /><Relationship Type="http://schemas.openxmlformats.org/officeDocument/2006/relationships/hyperlink" Target="https://rejuranusa.com/products/healer-nutritive-cream" TargetMode="External" Id="rId17" /><Relationship Type="http://schemas.openxmlformats.org/officeDocument/2006/relationships/hyperlink" Target="https://rejuranusa.com/products/pore-tightening-ampoule" TargetMode="External" Id="rId18" /><Relationship Type="http://schemas.openxmlformats.org/officeDocument/2006/relationships/hyperlink" Target="https://rejuranusa.com/products/pore-tightening-toner-pad" TargetMode="External" Id="rId19" /><Relationship Type="http://schemas.openxmlformats.org/officeDocument/2006/relationships/hyperlink" Target="https://rejuranusa.com/products/rebalancing-toner" TargetMode="External" Id="rId20" /><Relationship Type="http://schemas.openxmlformats.org/officeDocument/2006/relationships/hyperlink" Target="https://rejuranusa.com/products/recover-duo" TargetMode="External" Id="rId21" /><Relationship Type="http://schemas.openxmlformats.org/officeDocument/2006/relationships/hyperlink" Target="https://rejuranusa.com/products/recover-firming-cream" TargetMode="External" Id="rId22" /><Relationship Type="http://schemas.openxmlformats.org/officeDocument/2006/relationships/hyperlink" Target="https://rejuranusa.com/products/recover-c-pdrn-lifting-ampoule" TargetMode="External" Id="rId23" /><Relationship Type="http://schemas.openxmlformats.org/officeDocument/2006/relationships/hyperlink" Target="https://rejuranusa.com/products/the-glow-trio-v-day" TargetMode="External" Id="rId24" /><Relationship Type="http://schemas.openxmlformats.org/officeDocument/2006/relationships/hyperlink" Target="https://rejuranusa.com/products/triple-radiance-ampoule?variant=48745099985139" TargetMode="External" Id="rId25" /><Relationship Type="http://schemas.openxmlformats.org/officeDocument/2006/relationships/hyperlink" Target="https://rejuranusa.com/products/triple-radiance-ampoule?variant=48745099985139" TargetMode="External" Id="rId26" /><Relationship Type="http://schemas.openxmlformats.org/officeDocument/2006/relationships/hyperlink" Target="https://rejuranusa.com/products/healer-turnover-ampoule?variant=43533820264691" TargetMode="External" Id="rId27" /><Relationship Type="http://schemas.openxmlformats.org/officeDocument/2006/relationships/hyperlink" Target="https://rejuranusa.com/products/healer-turnover-ampoule?variant=43533820264691" TargetMode="External" Id="rId28" /><Relationship Type="http://schemas.openxmlformats.org/officeDocument/2006/relationships/hyperlink" Target="https://rejuranusa.com/products/turnover-cream-enhanced" TargetMode="External" Id="rId29" /><Relationship Type="http://schemas.openxmlformats.org/officeDocument/2006/relationships/hyperlink" Target="https://rejuranusa.com/products/ampoule-infused-lifting-mask" TargetMode="External" Id="rId30" /><Relationship Type="http://schemas.openxmlformats.org/officeDocument/2006/relationships/hyperlink" Target="https://rejuranusa.com/products/moisture-treatment-mask" TargetMode="External" Id="rId31" /><Relationship Type="http://schemas.openxmlformats.org/officeDocument/2006/relationships/hyperlink" Target="https://rejuranusa.com/products/pore-tightening-cleansing-balm" TargetMode="External" Id="rId32" /><Relationship Type="http://schemas.openxmlformats.org/officeDocument/2006/relationships/hyperlink" Target="https://rejuranusa.com/products/pore-tightening-gel-mask" TargetMode="External" Id="rId33" /><Relationship Type="http://schemas.openxmlformats.org/officeDocument/2006/relationships/hyperlink" Target="https://rejuranusa.com/products/turnover-mask" TargetMode="External" Id="rId34" /><Relationship Type="http://schemas.openxmlformats.org/officeDocument/2006/relationships/hyperlink" Target="https://rejuranusa.com/products/skin-reset-ritual" TargetMode="External" Id="rId35" /><Relationship Type="http://schemas.openxmlformats.org/officeDocument/2006/relationships/hyperlink" Target="https://rejuranusa.com/products/turnover-mask" TargetMode="External" Id="rId36" /><Relationship Type="http://schemas.openxmlformats.org/officeDocument/2006/relationships/hyperlink" Target="https://rejuranusa.com/products/ultimate-skin-care-regimen-v2" TargetMode="External" Id="rId37" /><Relationship Type="http://schemas.openxmlformats.org/officeDocument/2006/relationships/table" Target="/xl/tables/table1.xml" Id="rId38" /></Relationships>
</file>

<file path=xl/worksheets/_rels/sheet2.xml.rels><Relationships xmlns="http://schemas.openxmlformats.org/package/2006/relationships"><Relationship Type="http://schemas.openxmlformats.org/officeDocument/2006/relationships/hyperlink" Target="https://rejuranusa.com/products/advanced-anti-aging-retinol-c-pdrn-serum-1" TargetMode="External" Id="rId1" /><Relationship Type="http://schemas.openxmlformats.org/officeDocument/2006/relationships/hyperlink" Target="https://rejuranusa.com/products/advanced-face-neck-firming-cream" TargetMode="External" Id="rId2" /><Relationship Type="http://schemas.openxmlformats.org/officeDocument/2006/relationships/hyperlink" Target="https://rejuranusa.com/products/advanced-intensive-pigment-corrector" TargetMode="External" Id="rId3" /><Relationship Type="http://schemas.openxmlformats.org/officeDocument/2006/relationships/hyperlink" Target="https://rejuranusa.com/products/ampoule-infused-lifting-mask" TargetMode="External" Id="rId4" /><Relationship Type="http://schemas.openxmlformats.org/officeDocument/2006/relationships/hyperlink" Target="https://rejuranusa.com/products/calming-lip-balm" TargetMode="External" Id="rId5" /><Relationship Type="http://schemas.openxmlformats.org/officeDocument/2006/relationships/hyperlink" Target="https://rejuranusa.com/products/complete-moisture-routine-1" TargetMode="External" Id="rId6" /><Relationship Type="http://schemas.openxmlformats.org/officeDocument/2006/relationships/hyperlink" Target="https://rejuranusa.com/products/dual-effect-ampoule?variant=47922401607923" TargetMode="External" Id="rId7" /><Relationship Type="http://schemas.openxmlformats.org/officeDocument/2006/relationships/hyperlink" Target="https://rejuranusa.com/products/dual-effect-ampoule?variant=48786092130547" TargetMode="External" Id="rId8" /><Relationship Type="http://schemas.openxmlformats.org/officeDocument/2006/relationships/hyperlink" Target="https://rejuranusa.com/products/intensive-eye-cream" TargetMode="External" Id="rId9" /><Relationship Type="http://schemas.openxmlformats.org/officeDocument/2006/relationships/hyperlink" Target="https://rejuranusa.com/products/moisture-bubble-cleansing-water" TargetMode="External" Id="rId10" /><Relationship Type="http://schemas.openxmlformats.org/officeDocument/2006/relationships/hyperlink" Target="https://rejuranusa.com/products/moisture-treatment-cream" TargetMode="External" Id="rId11" /><Relationship Type="http://schemas.openxmlformats.org/officeDocument/2006/relationships/hyperlink" Target="https://rejuranusa.com/products/moisture-treatment-ampoule" TargetMode="External" Id="rId12" /><Relationship Type="http://schemas.openxmlformats.org/officeDocument/2006/relationships/hyperlink" Target="https://rejuranusa.com/products/moisture-treatment-essence" TargetMode="External" Id="rId13" /><Relationship Type="http://schemas.openxmlformats.org/officeDocument/2006/relationships/hyperlink" Target="https://rejuranusa.com/products/moisture-treatment-mask" TargetMode="External" Id="rId14" /><Relationship Type="http://schemas.openxmlformats.org/officeDocument/2006/relationships/hyperlink" Target="https://rejuranusa.com/products/moisture-treatment-toner" TargetMode="External" Id="rId15" /><Relationship Type="http://schemas.openxmlformats.org/officeDocument/2006/relationships/hyperlink" Target="https://rejuranusa.com/products/moisture-trio" TargetMode="External" Id="rId16" /><Relationship Type="http://schemas.openxmlformats.org/officeDocument/2006/relationships/hyperlink" Target="https://rejuranusa.com/products/healer-nutritive-cream" TargetMode="External" Id="rId17" /><Relationship Type="http://schemas.openxmlformats.org/officeDocument/2006/relationships/hyperlink" Target="https://rejuranusa.com/products/perfect-v-tighter" TargetMode="External" Id="rId18" /><Relationship Type="http://schemas.openxmlformats.org/officeDocument/2006/relationships/hyperlink" Target="https://rejuranusa.com/products/pore-refining-routine" TargetMode="External" Id="rId19" /><Relationship Type="http://schemas.openxmlformats.org/officeDocument/2006/relationships/hyperlink" Target="https://rejuranusa.com/products/pore-tightening-ampoule" TargetMode="External" Id="rId20" /><Relationship Type="http://schemas.openxmlformats.org/officeDocument/2006/relationships/hyperlink" Target="https://rejuranusa.com/products/pore-tightening-cleansing-balm" TargetMode="External" Id="rId21" /><Relationship Type="http://schemas.openxmlformats.org/officeDocument/2006/relationships/hyperlink" Target="https://rejuranusa.com/products/pore-tightening-gel-mask" TargetMode="External" Id="rId22" /><Relationship Type="http://schemas.openxmlformats.org/officeDocument/2006/relationships/hyperlink" Target="https://rejuranusa.com/products/pore-tightening-toner-pad" TargetMode="External" Id="rId23" /><Relationship Type="http://schemas.openxmlformats.org/officeDocument/2006/relationships/hyperlink" Target="https://rejuranusa.com/products/rebalancing-toner" TargetMode="External" Id="rId24" /><Relationship Type="http://schemas.openxmlformats.org/officeDocument/2006/relationships/hyperlink" Target="https://rejuranusa.com/products/recover-duo" TargetMode="External" Id="rId25" /><Relationship Type="http://schemas.openxmlformats.org/officeDocument/2006/relationships/hyperlink" Target="https://rejuranusa.com/products/recover-firming-cream" TargetMode="External" Id="rId26" /><Relationship Type="http://schemas.openxmlformats.org/officeDocument/2006/relationships/hyperlink" Target="https://rejuranusa.com/products/recover-c-pdrn-lifting-ampoule" TargetMode="External" Id="rId27" /><Relationship Type="http://schemas.openxmlformats.org/officeDocument/2006/relationships/hyperlink" Target="https://rejuranusa.com/products/refreshing-emulsion" TargetMode="External" Id="rId28" /><Relationship Type="http://schemas.openxmlformats.org/officeDocument/2006/relationships/hyperlink" Target="https://rejuranusa.com/products/skin-barrier-duo-set" TargetMode="External" Id="rId29" /><Relationship Type="http://schemas.openxmlformats.org/officeDocument/2006/relationships/hyperlink" Target="https://rejuranusa.com/products/skin-barrier-sun-care-duo-dual-effect-ampoule?variant=51105692680435" TargetMode="External" Id="rId30" /><Relationship Type="http://schemas.openxmlformats.org/officeDocument/2006/relationships/hyperlink" Target="https://rejuranusa.com/products/skin-barrier-sun-care-duo-dual-effect-ampoule?variant=51105692713203" TargetMode="External" Id="rId31" /><Relationship Type="http://schemas.openxmlformats.org/officeDocument/2006/relationships/hyperlink" Target="https://rejuranusa.com/products/skin-barrier-sun-care-duo-turnover-ampoule?variant=51105677476083" TargetMode="External" Id="rId32" /><Relationship Type="http://schemas.openxmlformats.org/officeDocument/2006/relationships/hyperlink" Target="https://rejuranusa.com/products/skin-barrier-sun-care-duo-turnover-ampoule?variant=51105677508851" TargetMode="External" Id="rId33" /><Relationship Type="http://schemas.openxmlformats.org/officeDocument/2006/relationships/hyperlink" Target="https://rejuranusa.com/products/skin-barrier-sun-stick" TargetMode="External" Id="rId34" /><Relationship Type="http://schemas.openxmlformats.org/officeDocument/2006/relationships/hyperlink" Target="https://rejuranusa.com/products/skin-barrier-sunscreen" TargetMode="External" Id="rId35" /><Relationship Type="http://schemas.openxmlformats.org/officeDocument/2006/relationships/hyperlink" Target="https://rejuranusa.com/products/skin-reset-ritual" TargetMode="External" Id="rId36" /><Relationship Type="http://schemas.openxmlformats.org/officeDocument/2006/relationships/hyperlink" Target="https://rejuranusa.com/products/the-glow-trio-v-day" TargetMode="External" Id="rId37" /><Relationship Type="http://schemas.openxmlformats.org/officeDocument/2006/relationships/hyperlink" Target="https://rejuranusa.com/products/triple-radiance-ampoule?variant=48745099985139" TargetMode="External" Id="rId38" /><Relationship Type="http://schemas.openxmlformats.org/officeDocument/2006/relationships/hyperlink" Target="https://rejuranusa.com/products/triple-radiance-ampoule?variant=48786093900019" TargetMode="External" Id="rId39" /><Relationship Type="http://schemas.openxmlformats.org/officeDocument/2006/relationships/hyperlink" Target="https://rejuranusa.com/products/triple-radiance-cream" TargetMode="External" Id="rId40" /><Relationship Type="http://schemas.openxmlformats.org/officeDocument/2006/relationships/hyperlink" Target="https://rejuranusa.com/products/triple-radiance-duo" TargetMode="External" Id="rId41" /><Relationship Type="http://schemas.openxmlformats.org/officeDocument/2006/relationships/hyperlink" Target="https://rejuranusa.com/products/healer-turnover-ampoule?variant=43533820264691" TargetMode="External" Id="rId42" /><Relationship Type="http://schemas.openxmlformats.org/officeDocument/2006/relationships/hyperlink" Target="https://rejuranusa.com/products/healer-turnover-ampoule?variant=48786093211891" TargetMode="External" Id="rId43" /><Relationship Type="http://schemas.openxmlformats.org/officeDocument/2006/relationships/hyperlink" Target="https://rejuranusa.com/products/turnover-cream-enhanced" TargetMode="External" Id="rId44" /><Relationship Type="http://schemas.openxmlformats.org/officeDocument/2006/relationships/hyperlink" Target="https://rejuranusa.com/products/turnover-mask" TargetMode="External" Id="rId45" /><Relationship Type="http://schemas.openxmlformats.org/officeDocument/2006/relationships/hyperlink" Target="https://rejuranusa.com/products/ultimate-skin-care-regimen-v2" TargetMode="External" Id="rId4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60" customWidth="1" min="2" max="2"/>
    <col width="8" customWidth="1" min="3" max="3"/>
    <col width="14" customWidth="1" min="4" max="4"/>
    <col width="26" customWidth="1" min="5" max="5"/>
    <col width="46" customWidth="1" min="6" max="6"/>
    <col width="18" customWidth="1" min="7" max="7"/>
    <col width="12" customWidth="1" min="8" max="8"/>
    <col width="12" customWidth="1" min="9" max="9"/>
    <col width="11" customWidth="1" min="10" max="10"/>
    <col width="40" customWidth="1" min="11" max="11"/>
    <col width="16" customWidth="1" min="12" max="12"/>
    <col width="12" customWidth="1" min="13" max="13"/>
    <col width="30" customWidth="1" min="14" max="14"/>
  </cols>
  <sheetData>
    <row r="1">
      <c r="A1" s="1" t="inlineStr">
        <is>
          <t>SKU</t>
        </is>
      </c>
      <c r="B1" s="1" t="inlineStr">
        <is>
          <t>Nosso produto</t>
        </is>
      </c>
      <c r="C1" s="1" t="inlineStr">
        <is>
          <t>No site?</t>
        </is>
      </c>
      <c r="D1" s="1" t="inlineStr">
        <is>
          <t>Preço OMG hoje (R$)</t>
        </is>
      </c>
      <c r="E1" s="1" t="inlineStr">
        <is>
          <t>Situação</t>
        </is>
      </c>
      <c r="F1" s="1" t="inlineStr">
        <is>
          <t>Produto oficial</t>
        </is>
      </c>
      <c r="G1" s="1" t="inlineStr">
        <is>
          <t>Variante</t>
        </is>
      </c>
      <c r="H1" s="1" t="inlineStr">
        <is>
          <t>Preço oficial (US$)</t>
        </is>
      </c>
      <c r="I1" s="1" t="inlineStr">
        <is>
          <t>Preço cheio (US$)</t>
        </is>
      </c>
      <c r="J1" s="1" t="inlineStr">
        <is>
          <t>Disponível lá?</t>
        </is>
      </c>
      <c r="K1" s="1" t="inlineStr">
        <is>
          <t>Link oficial</t>
        </is>
      </c>
      <c r="L1" s="1" t="inlineStr">
        <is>
          <t>Mercadoria sugerida (R$)</t>
        </is>
      </c>
      <c r="M1" s="1" t="inlineStr">
        <is>
          <t>Diferença vs hoje</t>
        </is>
      </c>
      <c r="N1" s="1" t="inlineStr">
        <is>
          <t>Observação</t>
        </is>
      </c>
    </row>
    <row r="2">
      <c r="A2" t="inlineStr">
        <is>
          <t>MB002554</t>
        </is>
      </c>
      <c r="B2" t="inlineStr">
        <is>
          <t>Advanced Anti-Aging Retinol + c-PDRN Serum: sérum noturno com retinol</t>
        </is>
      </c>
      <c r="C2" t="inlineStr">
        <is>
          <t>Não</t>
        </is>
      </c>
      <c r="D2" s="2" t="n">
        <v>583.9</v>
      </c>
      <c r="E2" s="3" t="inlineStr">
        <is>
          <t>Certeiro</t>
        </is>
      </c>
      <c r="F2" t="inlineStr">
        <is>
          <t>Advanced Anti-Aging Retinol + c-PDRN® Serum</t>
        </is>
      </c>
      <c r="G2" t="inlineStr">
        <is>
          <t>1 Bottle</t>
        </is>
      </c>
      <c r="H2" s="4" t="n">
        <v>79.98999999999999</v>
      </c>
      <c r="I2" s="4" t="n"/>
      <c r="J2" t="inlineStr">
        <is>
          <t>Sim</t>
        </is>
      </c>
      <c r="K2" s="5" t="inlineStr">
        <is>
          <t>https://rejuranusa.com/products/advanced-anti-aging-retinol-c-pdrn-serum-1</t>
        </is>
      </c>
      <c r="L2" s="2">
        <f>ROUND(H2*(1+Parâmetros!$B$2)*Parâmetros!$B$1,2)</f>
        <v/>
      </c>
      <c r="M2" s="6">
        <f>IF(OR(D2="",L2=""),"",D2/L2-1)</f>
        <v/>
      </c>
    </row>
    <row r="3">
      <c r="A3" t="inlineStr">
        <is>
          <t>MB002553</t>
        </is>
      </c>
      <c r="B3" t="inlineStr">
        <is>
          <t>Advanced Face &amp; Neck Firming Cream: creme de firmeza para rosto e pescoço com c-PDRN</t>
        </is>
      </c>
      <c r="C3" t="inlineStr">
        <is>
          <t>Não</t>
        </is>
      </c>
      <c r="D3" s="2" t="n">
        <v>470.9</v>
      </c>
      <c r="E3" s="3" t="inlineStr">
        <is>
          <t>Certeiro</t>
        </is>
      </c>
      <c r="F3" t="inlineStr">
        <is>
          <t>Advanced Face &amp; Neck Firming Cream</t>
        </is>
      </c>
      <c r="G3" t="inlineStr">
        <is>
          <t>1 Jar</t>
        </is>
      </c>
      <c r="H3" s="4" t="n">
        <v>76</v>
      </c>
      <c r="I3" s="4" t="n"/>
      <c r="J3" t="inlineStr">
        <is>
          <t>Sim</t>
        </is>
      </c>
      <c r="K3" s="5" t="inlineStr">
        <is>
          <t>https://rejuranusa.com/products/advanced-face-neck-firming-cream</t>
        </is>
      </c>
      <c r="L3" s="2">
        <f>ROUND(H3*(1+Parâmetros!$B$2)*Parâmetros!$B$1,2)</f>
        <v/>
      </c>
      <c r="M3" s="6">
        <f>IF(OR(D3="",L3=""),"",D3/L3-1)</f>
        <v/>
      </c>
    </row>
    <row r="4">
      <c r="A4" t="inlineStr">
        <is>
          <t>MB002552</t>
        </is>
      </c>
      <c r="B4" t="inlineStr">
        <is>
          <t>Advanced Intensive Pigment Corrector: sérum para uniformizar o tom com c-PDRN</t>
        </is>
      </c>
      <c r="C4" t="inlineStr">
        <is>
          <t>Não</t>
        </is>
      </c>
      <c r="D4" s="2" t="n">
        <v>524.9</v>
      </c>
      <c r="E4" s="3" t="inlineStr">
        <is>
          <t>Certeiro</t>
        </is>
      </c>
      <c r="F4" t="inlineStr">
        <is>
          <t>Advanced Intensive Pigment Corrector</t>
        </is>
      </c>
      <c r="G4" t="inlineStr">
        <is>
          <t>1 Bottle</t>
        </is>
      </c>
      <c r="H4" s="4" t="n">
        <v>72</v>
      </c>
      <c r="I4" s="4" t="n"/>
      <c r="J4" t="inlineStr">
        <is>
          <t>Sim</t>
        </is>
      </c>
      <c r="K4" s="5" t="inlineStr">
        <is>
          <t>https://rejuranusa.com/products/advanced-intensive-pigment-corrector</t>
        </is>
      </c>
      <c r="L4" s="2">
        <f>ROUND(H4*(1+Parâmetros!$B$2)*Parâmetros!$B$1,2)</f>
        <v/>
      </c>
      <c r="M4" s="6">
        <f>IF(OR(D4="",L4=""),"",D4/L4-1)</f>
        <v/>
      </c>
    </row>
    <row r="5">
      <c r="A5" t="inlineStr">
        <is>
          <t>MB002549</t>
        </is>
      </c>
      <c r="B5" t="inlineStr">
        <is>
          <t>Calming Lip Balm: bálsamo labial com c-PDRN e manteiga de karité 3,7 g</t>
        </is>
      </c>
      <c r="C5" t="inlineStr">
        <is>
          <t>Não</t>
        </is>
      </c>
      <c r="D5" s="2" t="n">
        <v>210.9</v>
      </c>
      <c r="E5" s="3" t="inlineStr">
        <is>
          <t>Certeiro</t>
        </is>
      </c>
      <c r="F5" t="inlineStr">
        <is>
          <t>Calming Lip Balm</t>
        </is>
      </c>
      <c r="G5" t="inlineStr">
        <is>
          <t>3.7g</t>
        </is>
      </c>
      <c r="H5" s="4" t="n">
        <v>29</v>
      </c>
      <c r="I5" s="4" t="n"/>
      <c r="J5" t="inlineStr">
        <is>
          <t>Sim</t>
        </is>
      </c>
      <c r="K5" s="5" t="inlineStr">
        <is>
          <t>https://rejuranusa.com/products/calming-lip-balm</t>
        </is>
      </c>
      <c r="L5" s="2">
        <f>ROUND(H5*(1+Parâmetros!$B$2)*Parâmetros!$B$1,2)</f>
        <v/>
      </c>
      <c r="M5" s="6">
        <f>IF(OR(D5="",L5=""),"",D5/L5-1)</f>
        <v/>
      </c>
    </row>
    <row r="6">
      <c r="A6" t="inlineStr">
        <is>
          <t>MB002548</t>
        </is>
      </c>
      <c r="B6" t="inlineStr">
        <is>
          <t>Complete Moisture Routine: kit com os 6 passos da linha Moisture</t>
        </is>
      </c>
      <c r="C6" t="inlineStr">
        <is>
          <t>Não</t>
        </is>
      </c>
      <c r="D6" s="2" t="n">
        <v>1274.9</v>
      </c>
      <c r="E6" s="3" t="inlineStr">
        <is>
          <t>Certeiro</t>
        </is>
      </c>
      <c r="F6" t="inlineStr">
        <is>
          <t>Complete Moisture Routine</t>
        </is>
      </c>
      <c r="G6" t="inlineStr"/>
      <c r="H6" s="4" t="n">
        <v>175</v>
      </c>
      <c r="I6" s="4" t="n"/>
      <c r="J6" t="inlineStr">
        <is>
          <t>Sim</t>
        </is>
      </c>
      <c r="K6" s="5" t="inlineStr">
        <is>
          <t>https://rejuranusa.com/products/complete-moisture-routine-1</t>
        </is>
      </c>
      <c r="L6" s="2">
        <f>ROUND(H6*(1+Parâmetros!$B$2)*Parâmetros!$B$1,2)</f>
        <v/>
      </c>
      <c r="M6" s="6">
        <f>IF(OR(D6="",L6=""),"",D6/L6-1)</f>
        <v/>
      </c>
    </row>
    <row r="7">
      <c r="A7" t="inlineStr">
        <is>
          <t>MB002545</t>
        </is>
      </c>
      <c r="B7" t="inlineStr">
        <is>
          <t>Intensive Eye Cream: creme para a área dos olhos com c-PDRN 20 ml</t>
        </is>
      </c>
      <c r="C7" t="inlineStr">
        <is>
          <t>Não</t>
        </is>
      </c>
      <c r="D7" s="2" t="n">
        <v>502.9</v>
      </c>
      <c r="E7" s="3" t="inlineStr">
        <is>
          <t>Certeiro</t>
        </is>
      </c>
      <c r="F7" t="inlineStr">
        <is>
          <t>Intensive Eye Cream</t>
        </is>
      </c>
      <c r="G7" t="inlineStr"/>
      <c r="H7" s="4" t="n">
        <v>69</v>
      </c>
      <c r="I7" s="4" t="n"/>
      <c r="J7" t="inlineStr">
        <is>
          <t>Sim</t>
        </is>
      </c>
      <c r="K7" s="5" t="inlineStr">
        <is>
          <t>https://rejuranusa.com/products/intensive-eye-cream</t>
        </is>
      </c>
      <c r="L7" s="2">
        <f>ROUND(H7*(1+Parâmetros!$B$2)*Parâmetros!$B$1,2)</f>
        <v/>
      </c>
      <c r="M7" s="6">
        <f>IF(OR(D7="",L7=""),"",D7/L7-1)</f>
        <v/>
      </c>
    </row>
    <row r="8">
      <c r="A8" t="inlineStr">
        <is>
          <t>MB002536</t>
        </is>
      </c>
      <c r="B8" t="inlineStr">
        <is>
          <t>Pore Refining Routine: kit discos + ampola para poros + Turnover Mask</t>
        </is>
      </c>
      <c r="C8" t="inlineStr">
        <is>
          <t>Não</t>
        </is>
      </c>
      <c r="D8" s="2" t="n">
        <v>684.9</v>
      </c>
      <c r="E8" s="3" t="inlineStr">
        <is>
          <t>Certeiro</t>
        </is>
      </c>
      <c r="F8" t="inlineStr">
        <is>
          <t>Pore Refining Routine</t>
        </is>
      </c>
      <c r="G8" t="inlineStr"/>
      <c r="H8" s="4" t="n">
        <v>94</v>
      </c>
      <c r="I8" s="4" t="n"/>
      <c r="J8" t="inlineStr">
        <is>
          <t>Sim</t>
        </is>
      </c>
      <c r="K8" s="5" t="inlineStr">
        <is>
          <t>https://rejuranusa.com/products/pore-refining-routine</t>
        </is>
      </c>
      <c r="L8" s="2">
        <f>ROUND(H8*(1+Parâmetros!$B$2)*Parâmetros!$B$1,2)</f>
        <v/>
      </c>
      <c r="M8" s="6">
        <f>IF(OR(D8="",L8=""),"",D8/L8-1)</f>
        <v/>
      </c>
    </row>
    <row r="9">
      <c r="A9" t="inlineStr">
        <is>
          <t>MB002521</t>
        </is>
      </c>
      <c r="B9" t="inlineStr">
        <is>
          <t>Triple Radiance Cream: creme de viço com c-PDRN e vitaminas B 50 ml</t>
        </is>
      </c>
      <c r="C9" t="inlineStr">
        <is>
          <t>Não</t>
        </is>
      </c>
      <c r="D9" s="2" t="n">
        <v>319.9</v>
      </c>
      <c r="E9" s="3" t="inlineStr">
        <is>
          <t>Certeiro</t>
        </is>
      </c>
      <c r="F9" t="inlineStr">
        <is>
          <t>Triple Radiance Cream</t>
        </is>
      </c>
      <c r="G9" t="inlineStr"/>
      <c r="H9" s="4" t="n">
        <v>44</v>
      </c>
      <c r="I9" s="4" t="n"/>
      <c r="J9" t="inlineStr">
        <is>
          <t>Sim</t>
        </is>
      </c>
      <c r="K9" s="5" t="inlineStr">
        <is>
          <t>https://rejuranusa.com/products/triple-radiance-cream</t>
        </is>
      </c>
      <c r="L9" s="2">
        <f>ROUND(H9*(1+Parâmetros!$B$2)*Parâmetros!$B$1,2)</f>
        <v/>
      </c>
      <c r="M9" s="6">
        <f>IF(OR(D9="",L9=""),"",D9/L9-1)</f>
        <v/>
      </c>
    </row>
    <row r="10">
      <c r="A10" t="inlineStr">
        <is>
          <t>MB002546</t>
        </is>
      </c>
      <c r="B10" t="inlineStr">
        <is>
          <t>Dual Effect Ampoule: ampola com c-PDRN e ceramida 30 ml ou 50 ml · 30mL (1.01 fl oz)</t>
        </is>
      </c>
      <c r="C10" t="inlineStr">
        <is>
          <t>Não</t>
        </is>
      </c>
      <c r="D10" s="2" t="n">
        <v>400.9</v>
      </c>
      <c r="E10" s="7" t="inlineStr">
        <is>
          <t>Provável — conferir</t>
        </is>
      </c>
      <c r="F10" t="inlineStr">
        <is>
          <t>Dual Effect Ampoule</t>
        </is>
      </c>
      <c r="G10" t="inlineStr">
        <is>
          <t>30mL (1.01 fl oz)</t>
        </is>
      </c>
      <c r="H10" s="4" t="n">
        <v>55</v>
      </c>
      <c r="I10" s="4" t="n"/>
      <c r="J10" t="inlineStr">
        <is>
          <t>Sim</t>
        </is>
      </c>
      <c r="K10" s="5" t="inlineStr">
        <is>
          <t>https://rejuranusa.com/products/dual-effect-ampoule?variant=47922401607923</t>
        </is>
      </c>
      <c r="L10" s="2">
        <f>ROUND(H10*(1+Parâmetros!$B$2)*Parâmetros!$B$1,2)</f>
        <v/>
      </c>
      <c r="M10" s="6">
        <f>IF(OR(D10="",L10=""),"",D10/L10-1)</f>
        <v/>
      </c>
    </row>
    <row r="11">
      <c r="A11" t="inlineStr">
        <is>
          <t>MB002547</t>
        </is>
      </c>
      <c r="B11" t="inlineStr">
        <is>
          <t>Dual Effect Ampoule: ampola com c-PDRN e ceramida 30 ml ou 50 ml · 50mL (1.69 fl oz)</t>
        </is>
      </c>
      <c r="C11" t="inlineStr">
        <is>
          <t>Não</t>
        </is>
      </c>
      <c r="D11" s="2" t="n">
        <v>545.9</v>
      </c>
      <c r="E11" s="7" t="inlineStr">
        <is>
          <t>Provável — conferir</t>
        </is>
      </c>
      <c r="F11" t="inlineStr">
        <is>
          <t>Dual Effect Ampoule</t>
        </is>
      </c>
      <c r="G11" t="inlineStr">
        <is>
          <t>30mL (1.01 fl oz)</t>
        </is>
      </c>
      <c r="H11" s="4" t="n">
        <v>55</v>
      </c>
      <c r="I11" s="4" t="n"/>
      <c r="J11" t="inlineStr">
        <is>
          <t>Sim</t>
        </is>
      </c>
      <c r="K11" s="5" t="inlineStr">
        <is>
          <t>https://rejuranusa.com/products/dual-effect-ampoule?variant=47922401607923</t>
        </is>
      </c>
      <c r="L11" s="2">
        <f>ROUND(H11*(1+Parâmetros!$B$2)*Parâmetros!$B$1,2)</f>
        <v/>
      </c>
      <c r="M11" s="6">
        <f>IF(OR(D11="",L11=""),"",D11/L11-1)</f>
        <v/>
      </c>
    </row>
    <row r="12">
      <c r="A12" t="inlineStr">
        <is>
          <t>MB002544</t>
        </is>
      </c>
      <c r="B12" t="inlineStr">
        <is>
          <t>Moisture Bubble Cleansing Water: limpador em espuma com PDRN 150 ml</t>
        </is>
      </c>
      <c r="C12" t="inlineStr">
        <is>
          <t>Não</t>
        </is>
      </c>
      <c r="D12" s="2" t="n">
        <v>181.9</v>
      </c>
      <c r="E12" s="7" t="inlineStr">
        <is>
          <t>Provável — conferir</t>
        </is>
      </c>
      <c r="F12" t="inlineStr">
        <is>
          <t>Moisture Bubble Cleansing Water</t>
        </is>
      </c>
      <c r="G12" t="inlineStr">
        <is>
          <t>5.07 fl oz</t>
        </is>
      </c>
      <c r="H12" s="4" t="n">
        <v>25</v>
      </c>
      <c r="I12" s="4" t="n"/>
      <c r="J12" t="inlineStr">
        <is>
          <t>Sim</t>
        </is>
      </c>
      <c r="K12" s="5" t="inlineStr">
        <is>
          <t>https://rejuranusa.com/products/moisture-bubble-cleansing-water</t>
        </is>
      </c>
      <c r="L12" s="2">
        <f>ROUND(H12*(1+Parâmetros!$B$2)*Parâmetros!$B$1,2)</f>
        <v/>
      </c>
      <c r="M12" s="6">
        <f>IF(OR(D12="",L12=""),"",D12/L12-1)</f>
        <v/>
      </c>
    </row>
    <row r="13">
      <c r="A13" t="inlineStr">
        <is>
          <t>MB002543</t>
        </is>
      </c>
      <c r="B13" t="inlineStr">
        <is>
          <t>Moisture Cream: creme hidratante com c-PDRN e ceramida 60 g</t>
        </is>
      </c>
      <c r="C13" t="inlineStr">
        <is>
          <t>Não</t>
        </is>
      </c>
      <c r="D13" s="2" t="n">
        <v>239.9</v>
      </c>
      <c r="E13" s="7" t="inlineStr">
        <is>
          <t>Provável — conferir</t>
        </is>
      </c>
      <c r="F13" t="inlineStr">
        <is>
          <t>Moisture Cream</t>
        </is>
      </c>
      <c r="G13" t="inlineStr"/>
      <c r="H13" s="4" t="n">
        <v>33</v>
      </c>
      <c r="I13" s="4" t="n"/>
      <c r="J13" t="inlineStr">
        <is>
          <t>Sim</t>
        </is>
      </c>
      <c r="K13" s="5" t="inlineStr">
        <is>
          <t>https://rejuranusa.com/products/moisture-treatment-cream</t>
        </is>
      </c>
      <c r="L13" s="2">
        <f>ROUND(H13*(1+Parâmetros!$B$2)*Parâmetros!$B$1,2)</f>
        <v/>
      </c>
      <c r="M13" s="6">
        <f>IF(OR(D13="",L13=""),"",D13/L13-1)</f>
        <v/>
      </c>
    </row>
    <row r="14">
      <c r="A14" t="inlineStr">
        <is>
          <t>MB002542</t>
        </is>
      </c>
      <c r="B14" t="inlineStr">
        <is>
          <t>Moisture Treatment Ampoule: ampola hidratante com c-PDRN 30 ml</t>
        </is>
      </c>
      <c r="C14" t="inlineStr">
        <is>
          <t>Não</t>
        </is>
      </c>
      <c r="D14" s="2" t="n">
        <v>283.9</v>
      </c>
      <c r="E14" s="7" t="inlineStr">
        <is>
          <t>Provável — conferir</t>
        </is>
      </c>
      <c r="F14" t="inlineStr">
        <is>
          <t>Moisture Treatment Ampoule</t>
        </is>
      </c>
      <c r="G14" t="inlineStr">
        <is>
          <t>30mL (1.01 fl oz)</t>
        </is>
      </c>
      <c r="H14" s="4" t="n">
        <v>39</v>
      </c>
      <c r="I14" s="4" t="n"/>
      <c r="J14" t="inlineStr">
        <is>
          <t>Sim</t>
        </is>
      </c>
      <c r="K14" s="5" t="inlineStr">
        <is>
          <t>https://rejuranusa.com/products/moisture-treatment-ampoule</t>
        </is>
      </c>
      <c r="L14" s="2">
        <f>ROUND(H14*(1+Parâmetros!$B$2)*Parâmetros!$B$1,2)</f>
        <v/>
      </c>
      <c r="M14" s="6">
        <f>IF(OR(D14="",L14=""),"",D14/L14-1)</f>
        <v/>
      </c>
    </row>
    <row r="15">
      <c r="A15" t="inlineStr">
        <is>
          <t>MB002541</t>
        </is>
      </c>
      <c r="B15" t="inlineStr">
        <is>
          <t>Moisture Treatment Essence: essência hidratante com c-PDRN 70 ml</t>
        </is>
      </c>
      <c r="C15" t="inlineStr">
        <is>
          <t>Não</t>
        </is>
      </c>
      <c r="D15" s="2" t="n">
        <v>261.9</v>
      </c>
      <c r="E15" s="7" t="inlineStr">
        <is>
          <t>Provável — conferir</t>
        </is>
      </c>
      <c r="F15" t="inlineStr">
        <is>
          <t>Moisture Treatment Essence</t>
        </is>
      </c>
      <c r="G15" t="inlineStr">
        <is>
          <t>70mL (2.46 fl oz)</t>
        </is>
      </c>
      <c r="H15" s="4" t="n">
        <v>36</v>
      </c>
      <c r="I15" s="4" t="n"/>
      <c r="J15" t="inlineStr">
        <is>
          <t>Sim</t>
        </is>
      </c>
      <c r="K15" s="5" t="inlineStr">
        <is>
          <t>https://rejuranusa.com/products/moisture-treatment-essence</t>
        </is>
      </c>
      <c r="L15" s="2">
        <f>ROUND(H15*(1+Parâmetros!$B$2)*Parâmetros!$B$1,2)</f>
        <v/>
      </c>
      <c r="M15" s="6">
        <f>IF(OR(D15="",L15=""),"",D15/L15-1)</f>
        <v/>
      </c>
    </row>
    <row r="16">
      <c r="A16" t="inlineStr">
        <is>
          <t>MB002539</t>
        </is>
      </c>
      <c r="B16" t="inlineStr">
        <is>
          <t>Moisture Treatment Toner: tônico hidratante com c-PDRN e ceramidas 150 ml</t>
        </is>
      </c>
      <c r="C16" t="inlineStr">
        <is>
          <t>Não</t>
        </is>
      </c>
      <c r="D16" s="2" t="n">
        <v>174.9</v>
      </c>
      <c r="E16" s="7" t="inlineStr">
        <is>
          <t>Provável — conferir</t>
        </is>
      </c>
      <c r="F16" t="inlineStr">
        <is>
          <t>Moisture Treatment Toner</t>
        </is>
      </c>
      <c r="G16" t="inlineStr">
        <is>
          <t>150mL (5.07 fl oz)</t>
        </is>
      </c>
      <c r="H16" s="4" t="n">
        <v>24</v>
      </c>
      <c r="I16" s="4" t="n"/>
      <c r="J16" t="inlineStr">
        <is>
          <t>Sim</t>
        </is>
      </c>
      <c r="K16" s="5" t="inlineStr">
        <is>
          <t>https://rejuranusa.com/products/moisture-treatment-toner</t>
        </is>
      </c>
      <c r="L16" s="2">
        <f>ROUND(H16*(1+Parâmetros!$B$2)*Parâmetros!$B$1,2)</f>
        <v/>
      </c>
      <c r="M16" s="6">
        <f>IF(OR(D16="",L16=""),"",D16/L16-1)</f>
        <v/>
      </c>
    </row>
    <row r="17">
      <c r="A17" t="inlineStr">
        <is>
          <t>MB002538</t>
        </is>
      </c>
      <c r="B17" t="inlineStr">
        <is>
          <t>Moisture Trio: kit tônico + ampola + creme da linha Moisture</t>
        </is>
      </c>
      <c r="C17" t="inlineStr">
        <is>
          <t>Não</t>
        </is>
      </c>
      <c r="D17" s="2" t="n">
        <v>699.9</v>
      </c>
      <c r="E17" s="7" t="inlineStr">
        <is>
          <t>Provável — conferir</t>
        </is>
      </c>
      <c r="F17" t="inlineStr">
        <is>
          <t>Moisture Trio</t>
        </is>
      </c>
      <c r="G17" t="inlineStr"/>
      <c r="H17" s="4" t="n">
        <v>96</v>
      </c>
      <c r="I17" s="4" t="n"/>
      <c r="J17" t="inlineStr">
        <is>
          <t>Sim</t>
        </is>
      </c>
      <c r="K17" s="5" t="inlineStr">
        <is>
          <t>https://rejuranusa.com/products/moisture-trio</t>
        </is>
      </c>
      <c r="L17" s="2">
        <f>ROUND(H17*(1+Parâmetros!$B$2)*Parâmetros!$B$1,2)</f>
        <v/>
      </c>
      <c r="M17" s="6">
        <f>IF(OR(D17="",L17=""),"",D17/L17-1)</f>
        <v/>
      </c>
    </row>
    <row r="18">
      <c r="A18" t="inlineStr">
        <is>
          <t>MB002537</t>
        </is>
      </c>
      <c r="B18" t="inlineStr">
        <is>
          <t>Nutritive Cream: creme nutritivo com c-PDRN e óleos vegetais 50 ml</t>
        </is>
      </c>
      <c r="C18" t="inlineStr">
        <is>
          <t>Não</t>
        </is>
      </c>
      <c r="D18" s="2" t="n">
        <v>392.9</v>
      </c>
      <c r="E18" s="7" t="inlineStr">
        <is>
          <t>Provável — conferir</t>
        </is>
      </c>
      <c r="F18" t="inlineStr">
        <is>
          <t>Nutritive Cream</t>
        </is>
      </c>
      <c r="G18" t="inlineStr">
        <is>
          <t>1 Jar</t>
        </is>
      </c>
      <c r="H18" s="4" t="n">
        <v>54</v>
      </c>
      <c r="I18" s="4" t="n"/>
      <c r="J18" t="inlineStr">
        <is>
          <t>Sim</t>
        </is>
      </c>
      <c r="K18" s="5" t="inlineStr">
        <is>
          <t>https://rejuranusa.com/products/healer-nutritive-cream</t>
        </is>
      </c>
      <c r="L18" s="2">
        <f>ROUND(H18*(1+Parâmetros!$B$2)*Parâmetros!$B$1,2)</f>
        <v/>
      </c>
      <c r="M18" s="6">
        <f>IF(OR(D18="",L18=""),"",D18/L18-1)</f>
        <v/>
      </c>
    </row>
    <row r="19">
      <c r="A19" t="inlineStr">
        <is>
          <t>MB002535</t>
        </is>
      </c>
      <c r="B19" t="inlineStr">
        <is>
          <t>Pore Tightening Ampoule: ampola para poros com c-PDRN 30 ml</t>
        </is>
      </c>
      <c r="C19" t="inlineStr">
        <is>
          <t>Não</t>
        </is>
      </c>
      <c r="D19" s="2" t="n">
        <v>305.9</v>
      </c>
      <c r="E19" s="7" t="inlineStr">
        <is>
          <t>Provável — conferir</t>
        </is>
      </c>
      <c r="F19" t="inlineStr">
        <is>
          <t>Pore Tightening Ampoule</t>
        </is>
      </c>
      <c r="G19" t="inlineStr">
        <is>
          <t>30mL (1.01 fl oz)</t>
        </is>
      </c>
      <c r="H19" s="4" t="n">
        <v>42</v>
      </c>
      <c r="I19" s="4" t="n"/>
      <c r="J19" t="inlineStr">
        <is>
          <t>Sim</t>
        </is>
      </c>
      <c r="K19" s="5" t="inlineStr">
        <is>
          <t>https://rejuranusa.com/products/pore-tightening-ampoule</t>
        </is>
      </c>
      <c r="L19" s="2">
        <f>ROUND(H19*(1+Parâmetros!$B$2)*Parâmetros!$B$1,2)</f>
        <v/>
      </c>
      <c r="M19" s="6">
        <f>IF(OR(D19="",L19=""),"",D19/L19-1)</f>
        <v/>
      </c>
    </row>
    <row r="20">
      <c r="A20" t="inlineStr">
        <is>
          <t>MB002532</t>
        </is>
      </c>
      <c r="B20" t="inlineStr">
        <is>
          <t>Pore Tightening Toner Pad: discos de tônico para poros com c-PDRN, 60 unidades</t>
        </is>
      </c>
      <c r="C20" t="inlineStr">
        <is>
          <t>Não</t>
        </is>
      </c>
      <c r="D20" s="2" t="n">
        <v>210.9</v>
      </c>
      <c r="E20" s="7" t="inlineStr">
        <is>
          <t>Provável — conferir</t>
        </is>
      </c>
      <c r="F20" t="inlineStr">
        <is>
          <t>Pore Tightening Toner Pad</t>
        </is>
      </c>
      <c r="G20" t="inlineStr">
        <is>
          <t>220mL (7.43 fl oz)</t>
        </is>
      </c>
      <c r="H20" s="4" t="n">
        <v>29</v>
      </c>
      <c r="I20" s="4" t="n"/>
      <c r="J20" t="inlineStr">
        <is>
          <t>Sim</t>
        </is>
      </c>
      <c r="K20" s="5" t="inlineStr">
        <is>
          <t>https://rejuranusa.com/products/pore-tightening-toner-pad</t>
        </is>
      </c>
      <c r="L20" s="2">
        <f>ROUND(H20*(1+Parâmetros!$B$2)*Parâmetros!$B$1,2)</f>
        <v/>
      </c>
      <c r="M20" s="6">
        <f>IF(OR(D20="",L20=""),"",D20/L20-1)</f>
        <v/>
      </c>
    </row>
    <row r="21">
      <c r="A21" t="inlineStr">
        <is>
          <t>MB002531</t>
        </is>
      </c>
      <c r="B21" t="inlineStr">
        <is>
          <t>Rebalancing Toner: tônico com c-PDRN, PHA e tea tree 120 ml</t>
        </is>
      </c>
      <c r="C21" t="inlineStr">
        <is>
          <t>Não</t>
        </is>
      </c>
      <c r="D21" s="2" t="n">
        <v>283.9</v>
      </c>
      <c r="E21" s="7" t="inlineStr">
        <is>
          <t>Provável — conferir</t>
        </is>
      </c>
      <c r="F21" t="inlineStr">
        <is>
          <t>Rebalancing Toner</t>
        </is>
      </c>
      <c r="G21" t="inlineStr">
        <is>
          <t>1 Bottle</t>
        </is>
      </c>
      <c r="H21" s="4" t="n">
        <v>39</v>
      </c>
      <c r="I21" s="4" t="n"/>
      <c r="J21" t="inlineStr">
        <is>
          <t>Sim</t>
        </is>
      </c>
      <c r="K21" s="5" t="inlineStr">
        <is>
          <t>https://rejuranusa.com/products/rebalancing-toner</t>
        </is>
      </c>
      <c r="L21" s="2">
        <f>ROUND(H21*(1+Parâmetros!$B$2)*Parâmetros!$B$1,2)</f>
        <v/>
      </c>
      <c r="M21" s="6">
        <f>IF(OR(D21="",L21=""),"",D21/L21-1)</f>
        <v/>
      </c>
    </row>
    <row r="22">
      <c r="A22" t="inlineStr">
        <is>
          <t>MB002529</t>
        </is>
      </c>
      <c r="B22" t="inlineStr">
        <is>
          <t>Recover Duo: kit Recover c-PDRN Lifting Ampoule + Recover Firming Cream</t>
        </is>
      </c>
      <c r="C22" t="inlineStr">
        <is>
          <t>Não</t>
        </is>
      </c>
      <c r="D22" s="2" t="n">
        <v>1588.9</v>
      </c>
      <c r="E22" s="7" t="inlineStr">
        <is>
          <t>Provável — conferir</t>
        </is>
      </c>
      <c r="F22" t="inlineStr">
        <is>
          <t>Recover Duo</t>
        </is>
      </c>
      <c r="G22" t="inlineStr"/>
      <c r="H22" s="4" t="n">
        <v>218</v>
      </c>
      <c r="I22" s="4" t="n"/>
      <c r="J22" t="inlineStr">
        <is>
          <t>Sim</t>
        </is>
      </c>
      <c r="K22" s="5" t="inlineStr">
        <is>
          <t>https://rejuranusa.com/products/recover-duo</t>
        </is>
      </c>
      <c r="L22" s="2">
        <f>ROUND(H22*(1+Parâmetros!$B$2)*Parâmetros!$B$1,2)</f>
        <v/>
      </c>
      <c r="M22" s="6">
        <f>IF(OR(D22="",L22=""),"",D22/L22-1)</f>
        <v/>
      </c>
    </row>
    <row r="23">
      <c r="A23" t="inlineStr">
        <is>
          <t>MB002528</t>
        </is>
      </c>
      <c r="B23" t="inlineStr">
        <is>
          <t>Recover Firming Cream: creme de firmeza com c-PDRN 50 ml</t>
        </is>
      </c>
      <c r="C23" t="inlineStr">
        <is>
          <t>Não</t>
        </is>
      </c>
      <c r="D23" s="2" t="n">
        <v>647.9</v>
      </c>
      <c r="E23" s="7" t="inlineStr">
        <is>
          <t>Provável — conferir</t>
        </is>
      </c>
      <c r="F23" t="inlineStr">
        <is>
          <t>Recover Firming Cream</t>
        </is>
      </c>
      <c r="G23" t="inlineStr">
        <is>
          <t>50mL (1.69 fl oz)</t>
        </is>
      </c>
      <c r="H23" s="4" t="n">
        <v>89</v>
      </c>
      <c r="I23" s="4" t="n"/>
      <c r="J23" t="inlineStr">
        <is>
          <t>Sim</t>
        </is>
      </c>
      <c r="K23" s="5" t="inlineStr">
        <is>
          <t>https://rejuranusa.com/products/recover-firming-cream</t>
        </is>
      </c>
      <c r="L23" s="2">
        <f>ROUND(H23*(1+Parâmetros!$B$2)*Parâmetros!$B$1,2)</f>
        <v/>
      </c>
      <c r="M23" s="6">
        <f>IF(OR(D23="",L23=""),"",D23/L23-1)</f>
        <v/>
      </c>
    </row>
    <row r="24">
      <c r="A24" t="inlineStr">
        <is>
          <t>MB002530</t>
        </is>
      </c>
      <c r="B24" t="inlineStr">
        <is>
          <t>Recover c-PDRN Lifting Ampoule: ampola de firmeza, 14 frascos de 2 ml</t>
        </is>
      </c>
      <c r="C24" t="inlineStr">
        <is>
          <t>Não</t>
        </is>
      </c>
      <c r="D24" s="2" t="n">
        <v>939.9</v>
      </c>
      <c r="E24" s="7" t="inlineStr">
        <is>
          <t>Provável — conferir</t>
        </is>
      </c>
      <c r="F24" t="inlineStr">
        <is>
          <t>Recover c-PDRN® Lifting Ampoule</t>
        </is>
      </c>
      <c r="G24" t="inlineStr">
        <is>
          <t>2mL (0.06 fl oz)  * 14 Vials</t>
        </is>
      </c>
      <c r="H24" s="4" t="n">
        <v>129</v>
      </c>
      <c r="I24" s="4" t="n"/>
      <c r="J24" t="inlineStr">
        <is>
          <t>Sim</t>
        </is>
      </c>
      <c r="K24" s="5" t="inlineStr">
        <is>
          <t>https://rejuranusa.com/products/recover-c-pdrn-lifting-ampoule</t>
        </is>
      </c>
      <c r="L24" s="2">
        <f>ROUND(H24*(1+Parâmetros!$B$2)*Parâmetros!$B$1,2)</f>
        <v/>
      </c>
      <c r="M24" s="6">
        <f>IF(OR(D24="",L24=""),"",D24/L24-1)</f>
        <v/>
      </c>
    </row>
    <row r="25">
      <c r="A25" t="inlineStr">
        <is>
          <t>MB002524</t>
        </is>
      </c>
      <c r="B25" t="inlineStr">
        <is>
          <t>The Glow Trio: kit Turnover Ampoule + Turnover Mask + Calming Lip Balm</t>
        </is>
      </c>
      <c r="C25" t="inlineStr">
        <is>
          <t>Não</t>
        </is>
      </c>
      <c r="D25" s="2" t="n">
        <v>757.9</v>
      </c>
      <c r="E25" s="7" t="inlineStr">
        <is>
          <t>Provável — conferir</t>
        </is>
      </c>
      <c r="F25" t="inlineStr">
        <is>
          <t>The Glow Trio</t>
        </is>
      </c>
      <c r="G25" t="inlineStr"/>
      <c r="H25" s="4" t="n">
        <v>104</v>
      </c>
      <c r="I25" s="4" t="n"/>
      <c r="J25" t="inlineStr">
        <is>
          <t>Sim</t>
        </is>
      </c>
      <c r="K25" s="5" t="inlineStr">
        <is>
          <t>https://rejuranusa.com/products/the-glow-trio-v-day</t>
        </is>
      </c>
      <c r="L25" s="2">
        <f>ROUND(H25*(1+Parâmetros!$B$2)*Parâmetros!$B$1,2)</f>
        <v/>
      </c>
      <c r="M25" s="6">
        <f>IF(OR(D25="",L25=""),"",D25/L25-1)</f>
        <v/>
      </c>
    </row>
    <row r="26">
      <c r="A26" t="inlineStr">
        <is>
          <t>MB002522</t>
        </is>
      </c>
      <c r="B26" t="inlineStr">
        <is>
          <t>Triple Radiance Ampoule: ampola de luminosidade com c-PDRN 0,5% 30 ml ou 50 ml · 30mL (1.01 fl oz)</t>
        </is>
      </c>
      <c r="C26" t="inlineStr">
        <is>
          <t>Não</t>
        </is>
      </c>
      <c r="D26" s="2" t="n">
        <v>414.9</v>
      </c>
      <c r="E26" s="7" t="inlineStr">
        <is>
          <t>Provável — conferir</t>
        </is>
      </c>
      <c r="F26" t="inlineStr">
        <is>
          <t>Triple Radiance Ampoule</t>
        </is>
      </c>
      <c r="G26" t="inlineStr">
        <is>
          <t>30mL (1.01 fl oz)</t>
        </is>
      </c>
      <c r="H26" s="4" t="n">
        <v>57</v>
      </c>
      <c r="I26" s="4" t="n"/>
      <c r="J26" t="inlineStr">
        <is>
          <t>Sim</t>
        </is>
      </c>
      <c r="K26" s="5" t="inlineStr">
        <is>
          <t>https://rejuranusa.com/products/triple-radiance-ampoule?variant=48745099985139</t>
        </is>
      </c>
      <c r="L26" s="2">
        <f>ROUND(H26*(1+Parâmetros!$B$2)*Parâmetros!$B$1,2)</f>
        <v/>
      </c>
      <c r="M26" s="6">
        <f>IF(OR(D26="",L26=""),"",D26/L26-1)</f>
        <v/>
      </c>
    </row>
    <row r="27">
      <c r="A27" t="inlineStr">
        <is>
          <t>MB002523</t>
        </is>
      </c>
      <c r="B27" t="inlineStr">
        <is>
          <t>Triple Radiance Ampoule: ampola de luminosidade com c-PDRN 0,5% 30 ml ou 50 ml · 50mL (1.69 fl oz)</t>
        </is>
      </c>
      <c r="C27" t="inlineStr">
        <is>
          <t>Não</t>
        </is>
      </c>
      <c r="D27" s="2" t="n">
        <v>560.9</v>
      </c>
      <c r="E27" s="7" t="inlineStr">
        <is>
          <t>Provável — conferir</t>
        </is>
      </c>
      <c r="F27" t="inlineStr">
        <is>
          <t>Triple Radiance Ampoule</t>
        </is>
      </c>
      <c r="G27" t="inlineStr">
        <is>
          <t>30mL (1.01 fl oz)</t>
        </is>
      </c>
      <c r="H27" s="4" t="n">
        <v>57</v>
      </c>
      <c r="I27" s="4" t="n"/>
      <c r="J27" t="inlineStr">
        <is>
          <t>Sim</t>
        </is>
      </c>
      <c r="K27" s="5" t="inlineStr">
        <is>
          <t>https://rejuranusa.com/products/triple-radiance-ampoule?variant=48745099985139</t>
        </is>
      </c>
      <c r="L27" s="2">
        <f>ROUND(H27*(1+Parâmetros!$B$2)*Parâmetros!$B$1,2)</f>
        <v/>
      </c>
      <c r="M27" s="6">
        <f>IF(OR(D27="",L27=""),"",D27/L27-1)</f>
        <v/>
      </c>
    </row>
    <row r="28">
      <c r="A28" t="inlineStr">
        <is>
          <t>MB002518</t>
        </is>
      </c>
      <c r="B28" t="inlineStr">
        <is>
          <t>Turnover Ampoule: ampola com c-PDRN e ácido hialurônico 30 ml ou 50 ml · 30mL (1.01 fl oz)</t>
        </is>
      </c>
      <c r="C28" t="inlineStr">
        <is>
          <t>Não</t>
        </is>
      </c>
      <c r="D28" s="2" t="n">
        <v>378.9</v>
      </c>
      <c r="E28" s="7" t="inlineStr">
        <is>
          <t>Provável — conferir</t>
        </is>
      </c>
      <c r="F28" t="inlineStr">
        <is>
          <t>Turnover Ampoule</t>
        </is>
      </c>
      <c r="G28" t="inlineStr">
        <is>
          <t>30mL (1.01 fl oz)</t>
        </is>
      </c>
      <c r="H28" s="4" t="n">
        <v>52</v>
      </c>
      <c r="I28" s="4" t="n"/>
      <c r="J28" t="inlineStr">
        <is>
          <t>Sim</t>
        </is>
      </c>
      <c r="K28" s="5" t="inlineStr">
        <is>
          <t>https://rejuranusa.com/products/healer-turnover-ampoule?variant=43533820264691</t>
        </is>
      </c>
      <c r="L28" s="2">
        <f>ROUND(H28*(1+Parâmetros!$B$2)*Parâmetros!$B$1,2)</f>
        <v/>
      </c>
      <c r="M28" s="6">
        <f>IF(OR(D28="",L28=""),"",D28/L28-1)</f>
        <v/>
      </c>
    </row>
    <row r="29">
      <c r="A29" t="inlineStr">
        <is>
          <t>MB002519</t>
        </is>
      </c>
      <c r="B29" t="inlineStr">
        <is>
          <t>Turnover Ampoule: ampola com c-PDRN e ácido hialurônico 30 ml ou 50 ml · 50mL (1.69 fl oz)</t>
        </is>
      </c>
      <c r="C29" t="inlineStr">
        <is>
          <t>Não</t>
        </is>
      </c>
      <c r="D29" s="2" t="n">
        <v>524.9</v>
      </c>
      <c r="E29" s="7" t="inlineStr">
        <is>
          <t>Provável — conferir</t>
        </is>
      </c>
      <c r="F29" t="inlineStr">
        <is>
          <t>Turnover Ampoule</t>
        </is>
      </c>
      <c r="G29" t="inlineStr">
        <is>
          <t>30mL (1.01 fl oz)</t>
        </is>
      </c>
      <c r="H29" s="4" t="n">
        <v>52</v>
      </c>
      <c r="I29" s="4" t="n"/>
      <c r="J29" t="inlineStr">
        <is>
          <t>Sim</t>
        </is>
      </c>
      <c r="K29" s="5" t="inlineStr">
        <is>
          <t>https://rejuranusa.com/products/healer-turnover-ampoule?variant=43533820264691</t>
        </is>
      </c>
      <c r="L29" s="2">
        <f>ROUND(H29*(1+Parâmetros!$B$2)*Parâmetros!$B$1,2)</f>
        <v/>
      </c>
      <c r="M29" s="6">
        <f>IF(OR(D29="",L29=""),"",D29/L29-1)</f>
        <v/>
      </c>
    </row>
    <row r="30">
      <c r="A30" t="inlineStr">
        <is>
          <t>MB002517</t>
        </is>
      </c>
      <c r="B30" t="inlineStr">
        <is>
          <t>Turnover Cream Enhanced: creme hidratante com c-PDRN 50 ml</t>
        </is>
      </c>
      <c r="C30" t="inlineStr">
        <is>
          <t>Não</t>
        </is>
      </c>
      <c r="D30" s="2" t="n">
        <v>290.9</v>
      </c>
      <c r="E30" s="7" t="inlineStr">
        <is>
          <t>Provável — conferir</t>
        </is>
      </c>
      <c r="F30" t="inlineStr">
        <is>
          <t>Turnover Cream Enhanced</t>
        </is>
      </c>
      <c r="G30" t="inlineStr">
        <is>
          <t>50 mL / 1.69 fl oz</t>
        </is>
      </c>
      <c r="H30" s="4" t="n">
        <v>40</v>
      </c>
      <c r="I30" s="4" t="n"/>
      <c r="J30" t="inlineStr">
        <is>
          <t>Sim</t>
        </is>
      </c>
      <c r="K30" s="5" t="inlineStr">
        <is>
          <t>https://rejuranusa.com/products/turnover-cream-enhanced</t>
        </is>
      </c>
      <c r="L30" s="2">
        <f>ROUND(H30*(1+Parâmetros!$B$2)*Parâmetros!$B$1,2)</f>
        <v/>
      </c>
      <c r="M30" s="6">
        <f>IF(OR(D30="",L30=""),"",D30/L30-1)</f>
        <v/>
      </c>
    </row>
    <row r="31">
      <c r="A31" t="inlineStr">
        <is>
          <t>MB002550</t>
        </is>
      </c>
      <c r="B31" t="inlineStr">
        <is>
          <t>Ampoule Infused Lifting Mask: máscara de hidrogel com c-PDRN, 4 unidades de 28 g</t>
        </is>
      </c>
      <c r="C31" t="inlineStr">
        <is>
          <t>Não</t>
        </is>
      </c>
      <c r="D31" s="2" t="n">
        <v>181.9</v>
      </c>
      <c r="E31" s="8" t="inlineStr">
        <is>
          <t>Conferir (tamanho/kit diferente)</t>
        </is>
      </c>
      <c r="F31" t="inlineStr">
        <is>
          <t>Ampoule Infused Lifting Mask</t>
        </is>
      </c>
      <c r="G31" t="inlineStr">
        <is>
          <t>28g x 4ea (0.98 oz.)</t>
        </is>
      </c>
      <c r="H31" s="4" t="n">
        <v>25</v>
      </c>
      <c r="I31" s="4" t="n"/>
      <c r="J31" t="inlineStr">
        <is>
          <t>Sim</t>
        </is>
      </c>
      <c r="K31" s="5" t="inlineStr">
        <is>
          <t>https://rejuranusa.com/products/ampoule-infused-lifting-mask</t>
        </is>
      </c>
      <c r="L31" s="2">
        <f>ROUND(H31*(1+Parâmetros!$B$2)*Parâmetros!$B$1,2)</f>
        <v/>
      </c>
      <c r="M31" s="6">
        <f>IF(OR(D31="",L31=""),"",D31/L31-1)</f>
        <v/>
      </c>
    </row>
    <row r="32">
      <c r="A32" t="inlineStr">
        <is>
          <t>MB002540</t>
        </is>
      </c>
      <c r="B32" t="inlineStr">
        <is>
          <t>Moisture Treatment Mask: máscara hidratante com c-PDRN, 5 unidades</t>
        </is>
      </c>
      <c r="C32" t="inlineStr">
        <is>
          <t>Não</t>
        </is>
      </c>
      <c r="D32" s="2" t="n">
        <v>130.9</v>
      </c>
      <c r="E32" s="8" t="inlineStr">
        <is>
          <t>Conferir (tamanho/kit diferente)</t>
        </is>
      </c>
      <c r="F32" t="inlineStr">
        <is>
          <t>Moisture Treatment Mask</t>
        </is>
      </c>
      <c r="G32" t="inlineStr">
        <is>
          <t>5 Sheets</t>
        </is>
      </c>
      <c r="H32" s="4" t="n">
        <v>18</v>
      </c>
      <c r="I32" s="4" t="n"/>
      <c r="J32" t="inlineStr">
        <is>
          <t>Sim</t>
        </is>
      </c>
      <c r="K32" s="5" t="inlineStr">
        <is>
          <t>https://rejuranusa.com/products/moisture-treatment-mask</t>
        </is>
      </c>
      <c r="L32" s="2">
        <f>ROUND(H32*(1+Parâmetros!$B$2)*Parâmetros!$B$1,2)</f>
        <v/>
      </c>
      <c r="M32" s="6">
        <f>IF(OR(D32="",L32=""),"",D32/L32-1)</f>
        <v/>
      </c>
    </row>
    <row r="33">
      <c r="A33" t="inlineStr">
        <is>
          <t>MB002534</t>
        </is>
      </c>
      <c r="B33" t="inlineStr">
        <is>
          <t>Pore Tightening Cleansing Balm: bálsamo de limpeza com c-PDRN 50 ml</t>
        </is>
      </c>
      <c r="C33" t="inlineStr">
        <is>
          <t>Não</t>
        </is>
      </c>
      <c r="D33" s="2" t="n">
        <v>181.9</v>
      </c>
      <c r="E33" s="8" t="inlineStr">
        <is>
          <t>Conferir (tamanho/kit diferente)</t>
        </is>
      </c>
      <c r="F33" t="inlineStr">
        <is>
          <t>Pore Tightening Cleansing Balm</t>
        </is>
      </c>
      <c r="G33" t="inlineStr">
        <is>
          <t>220mL (7.43 fl oz)</t>
        </is>
      </c>
      <c r="H33" s="4" t="n">
        <v>25</v>
      </c>
      <c r="I33" s="4" t="n"/>
      <c r="J33" t="inlineStr">
        <is>
          <t>Sim</t>
        </is>
      </c>
      <c r="K33" s="5" t="inlineStr">
        <is>
          <t>https://rejuranusa.com/products/pore-tightening-cleansing-balm</t>
        </is>
      </c>
      <c r="L33" s="2">
        <f>ROUND(H33*(1+Parâmetros!$B$2)*Parâmetros!$B$1,2)</f>
        <v/>
      </c>
      <c r="M33" s="6">
        <f>IF(OR(D33="",L33=""),"",D33/L33-1)</f>
        <v/>
      </c>
    </row>
    <row r="34">
      <c r="A34" t="inlineStr">
        <is>
          <t>MB002533</t>
        </is>
      </c>
      <c r="B34" t="inlineStr">
        <is>
          <t>Pore Tightening Gel Mask: máscara de hidrogel para poros, 5 unidades de 32 ml</t>
        </is>
      </c>
      <c r="C34" t="inlineStr">
        <is>
          <t>Não</t>
        </is>
      </c>
      <c r="D34" s="2" t="n">
        <v>210.9</v>
      </c>
      <c r="E34" s="8" t="inlineStr">
        <is>
          <t>Conferir (tamanho/kit diferente)</t>
        </is>
      </c>
      <c r="F34" t="inlineStr">
        <is>
          <t>Pore Tightening Gel Mask</t>
        </is>
      </c>
      <c r="G34" t="inlineStr">
        <is>
          <t>5 Sheets</t>
        </is>
      </c>
      <c r="H34" s="4" t="n">
        <v>29</v>
      </c>
      <c r="I34" s="4" t="n"/>
      <c r="J34" t="inlineStr">
        <is>
          <t>Sim</t>
        </is>
      </c>
      <c r="K34" s="5" t="inlineStr">
        <is>
          <t>https://rejuranusa.com/products/pore-tightening-gel-mask</t>
        </is>
      </c>
      <c r="L34" s="2">
        <f>ROUND(H34*(1+Parâmetros!$B$2)*Parâmetros!$B$1,2)</f>
        <v/>
      </c>
      <c r="M34" s="6">
        <f>IF(OR(D34="",L34=""),"",D34/L34-1)</f>
        <v/>
      </c>
    </row>
    <row r="35">
      <c r="A35" t="inlineStr">
        <is>
          <t>MB002527</t>
        </is>
      </c>
      <c r="B35" t="inlineStr">
        <is>
          <t>Skin Protection Mask: máscara calmante com c-PDRN, 5 unidades de 27 ml</t>
        </is>
      </c>
      <c r="C35" t="inlineStr">
        <is>
          <t>Não</t>
        </is>
      </c>
      <c r="D35" s="2" t="n">
        <v>123.9</v>
      </c>
      <c r="E35" s="8" t="inlineStr">
        <is>
          <t>Conferir (tamanho/kit diferente)</t>
        </is>
      </c>
      <c r="F35" t="inlineStr">
        <is>
          <t>Turnover Mask</t>
        </is>
      </c>
      <c r="G35" t="inlineStr">
        <is>
          <t>1 Box</t>
        </is>
      </c>
      <c r="H35" s="4" t="n">
        <v>23</v>
      </c>
      <c r="I35" s="4" t="n"/>
      <c r="J35" t="inlineStr">
        <is>
          <t>Sim</t>
        </is>
      </c>
      <c r="K35" s="5" t="inlineStr">
        <is>
          <t>https://rejuranusa.com/products/turnover-mask</t>
        </is>
      </c>
      <c r="L35" s="2">
        <f>ROUND(H35*(1+Parâmetros!$B$2)*Parâmetros!$B$1,2)</f>
        <v/>
      </c>
      <c r="M35" s="6">
        <f>IF(OR(D35="",L35=""),"",D35/L35-1)</f>
        <v/>
      </c>
    </row>
    <row r="36">
      <c r="A36" t="inlineStr">
        <is>
          <t>MB002526</t>
        </is>
      </c>
      <c r="B36" t="inlineStr">
        <is>
          <t>Skin Reset Ritual: kit tônico hidratante + Turnover Ampoule + Turnover Mask</t>
        </is>
      </c>
      <c r="C36" t="inlineStr">
        <is>
          <t>Não</t>
        </is>
      </c>
      <c r="D36" s="2" t="n">
        <v>720.9</v>
      </c>
      <c r="E36" s="8" t="inlineStr">
        <is>
          <t>Conferir (tamanho/kit diferente)</t>
        </is>
      </c>
      <c r="F36" t="inlineStr">
        <is>
          <t>Skin Reset Ritual</t>
        </is>
      </c>
      <c r="G36" t="inlineStr"/>
      <c r="H36" s="4" t="n">
        <v>99</v>
      </c>
      <c r="I36" s="4" t="n"/>
      <c r="J36" t="inlineStr">
        <is>
          <t>Sim</t>
        </is>
      </c>
      <c r="K36" s="5" t="inlineStr">
        <is>
          <t>https://rejuranusa.com/products/skin-reset-ritual</t>
        </is>
      </c>
      <c r="L36" s="2">
        <f>ROUND(H36*(1+Parâmetros!$B$2)*Parâmetros!$B$1,2)</f>
        <v/>
      </c>
      <c r="M36" s="6">
        <f>IF(OR(D36="",L36=""),"",D36/L36-1)</f>
        <v/>
      </c>
    </row>
    <row r="37">
      <c r="A37" t="inlineStr">
        <is>
          <t>MB002516</t>
        </is>
      </c>
      <c r="B37" t="inlineStr">
        <is>
          <t>Turnover Mask: máscara facial noturna com c-PDRN, 5 unidades de 40 ml</t>
        </is>
      </c>
      <c r="C37" t="inlineStr">
        <is>
          <t>Não</t>
        </is>
      </c>
      <c r="D37" s="2" t="n">
        <v>166.9</v>
      </c>
      <c r="E37" s="8" t="inlineStr">
        <is>
          <t>Conferir (tamanho/kit diferente)</t>
        </is>
      </c>
      <c r="F37" t="inlineStr">
        <is>
          <t>Turnover Mask</t>
        </is>
      </c>
      <c r="G37" t="inlineStr">
        <is>
          <t>1 Box</t>
        </is>
      </c>
      <c r="H37" s="4" t="n">
        <v>23</v>
      </c>
      <c r="I37" s="4" t="n"/>
      <c r="J37" t="inlineStr">
        <is>
          <t>Sim</t>
        </is>
      </c>
      <c r="K37" s="5" t="inlineStr">
        <is>
          <t>https://rejuranusa.com/products/turnover-mask</t>
        </is>
      </c>
      <c r="L37" s="2">
        <f>ROUND(H37*(1+Parâmetros!$B$2)*Parâmetros!$B$1,2)</f>
        <v/>
      </c>
      <c r="M37" s="6">
        <f>IF(OR(D37="",L37=""),"",D37/L37-1)</f>
        <v/>
      </c>
    </row>
    <row r="38">
      <c r="A38" t="inlineStr">
        <is>
          <t>MB002515</t>
        </is>
      </c>
      <c r="B38" t="inlineStr">
        <is>
          <t>Ultimate Skin Care Regimen V2: kit de rotina com c-PDRN em 4 passos</t>
        </is>
      </c>
      <c r="C38" t="inlineStr">
        <is>
          <t>Não</t>
        </is>
      </c>
      <c r="D38" s="2" t="n">
        <v>1012.9</v>
      </c>
      <c r="E38" s="8" t="inlineStr">
        <is>
          <t>Conferir (tamanho/kit diferente)</t>
        </is>
      </c>
      <c r="F38" t="inlineStr">
        <is>
          <t>Ultimate Skin Care Regimen V2</t>
        </is>
      </c>
      <c r="G38" t="inlineStr"/>
      <c r="H38" s="4" t="n">
        <v>139</v>
      </c>
      <c r="I38" s="4" t="n"/>
      <c r="J38" t="inlineStr">
        <is>
          <t>Sim</t>
        </is>
      </c>
      <c r="K38" s="5" t="inlineStr">
        <is>
          <t>https://rejuranusa.com/products/ultimate-skin-care-regimen-v2</t>
        </is>
      </c>
      <c r="L38" s="2">
        <f>ROUND(H38*(1+Parâmetros!$B$2)*Parâmetros!$B$1,2)</f>
        <v/>
      </c>
      <c r="M38" s="6">
        <f>IF(OR(D38="",L38=""),"",D38/L38-1)</f>
        <v/>
      </c>
    </row>
    <row r="39">
      <c r="A39" t="inlineStr">
        <is>
          <t>MB002525</t>
        </is>
      </c>
      <c r="B39" t="inlineStr">
        <is>
          <t>Duo Reparação Impecável</t>
        </is>
      </c>
      <c r="C39" t="inlineStr">
        <is>
          <t>Não</t>
        </is>
      </c>
      <c r="D39" s="2" t="n">
        <v>925.9</v>
      </c>
      <c r="E39" t="inlineStr">
        <is>
          <t>Sem par</t>
        </is>
      </c>
      <c r="H39" s="4" t="n"/>
      <c r="I39" s="4" t="n"/>
      <c r="L39" s="2" t="n"/>
      <c r="M39" s="6" t="n"/>
    </row>
    <row r="40">
      <c r="A40" t="inlineStr">
        <is>
          <t>MB002520</t>
        </is>
      </c>
      <c r="B40" t="inlineStr">
        <is>
          <t>Duo Tripla Radiância</t>
        </is>
      </c>
      <c r="C40" t="inlineStr">
        <is>
          <t>Não</t>
        </is>
      </c>
      <c r="D40" s="2" t="n">
        <v>735.9</v>
      </c>
      <c r="E40" t="inlineStr">
        <is>
          <t>Sem par</t>
        </is>
      </c>
      <c r="H40" s="4" t="n"/>
      <c r="I40" s="4" t="n"/>
      <c r="L40" s="2" t="n"/>
      <c r="M40" s="6" t="n"/>
    </row>
    <row r="41">
      <c r="A41" t="inlineStr">
        <is>
          <t>MB002551</t>
        </is>
      </c>
      <c r="B41" t="inlineStr">
        <is>
          <t>Gel Avançado para Cicatrizes</t>
        </is>
      </c>
      <c r="C41" t="inlineStr">
        <is>
          <t>Não</t>
        </is>
      </c>
      <c r="D41" s="2" t="n">
        <v>400.9</v>
      </c>
      <c r="E41" t="inlineStr">
        <is>
          <t>Sem par</t>
        </is>
      </c>
      <c r="H41" s="4" t="n"/>
      <c r="I41" s="4" t="n"/>
      <c r="L41" s="2" t="n"/>
      <c r="M41" s="6" t="n"/>
    </row>
  </sheetData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</hyperlinks>
  <pageMargins left="0.75" right="0.75" top="1" bottom="1" header="0.5" footer="0.5"/>
  <tableParts count="1">
    <tablePart xmlns:r="http://schemas.openxmlformats.org/officeDocument/2006/relationships" r:id="rId3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22" customWidth="1" min="2" max="2"/>
    <col width="12" customWidth="1" min="3" max="3"/>
    <col width="14" customWidth="1" min="4" max="4"/>
    <col width="11" customWidth="1" min="5" max="5"/>
    <col width="10" customWidth="1" min="6" max="6"/>
    <col width="18" customWidth="1" min="7" max="7"/>
    <col width="50" customWidth="1" min="8" max="8"/>
  </cols>
  <sheetData>
    <row r="1">
      <c r="A1" s="1" t="inlineStr">
        <is>
          <t>Produto oficial</t>
        </is>
      </c>
      <c r="B1" s="1" t="inlineStr">
        <is>
          <t>Variante</t>
        </is>
      </c>
      <c r="C1" s="1" t="inlineStr">
        <is>
          <t>Preço (US$)</t>
        </is>
      </c>
      <c r="D1" s="1" t="inlineStr">
        <is>
          <t>Preço cheio (US$)</t>
        </is>
      </c>
      <c r="E1" s="1" t="inlineStr">
        <is>
          <t>Disponível?</t>
        </is>
      </c>
      <c r="F1" s="1" t="inlineStr">
        <is>
          <t>Kit/combo?</t>
        </is>
      </c>
      <c r="G1" s="1" t="inlineStr">
        <is>
          <t>SKU deles</t>
        </is>
      </c>
      <c r="H1" s="1" t="inlineStr">
        <is>
          <t>Link</t>
        </is>
      </c>
    </row>
    <row r="2">
      <c r="A2" t="inlineStr">
        <is>
          <t>Advanced Anti-Aging Retinol + c-PDRN® Serum</t>
        </is>
      </c>
      <c r="B2" t="inlineStr">
        <is>
          <t>1 Bottle</t>
        </is>
      </c>
      <c r="C2" t="n">
        <v>79.98999999999999</v>
      </c>
      <c r="E2" t="inlineStr">
        <is>
          <t>Sim</t>
        </is>
      </c>
      <c r="F2" t="inlineStr">
        <is>
          <t>Sim</t>
        </is>
      </c>
      <c r="G2" t="inlineStr">
        <is>
          <t>REJ-ADV-ANT</t>
        </is>
      </c>
      <c r="H2" t="inlineStr">
        <is>
          <t>https://rejuranusa.com/products/advanced-anti-aging-retinol-c-pdrn-serum-1</t>
        </is>
      </c>
    </row>
    <row r="3">
      <c r="A3" t="inlineStr">
        <is>
          <t>Advanced Face &amp; Neck Firming Cream</t>
        </is>
      </c>
      <c r="B3" t="inlineStr">
        <is>
          <t>1 Jar</t>
        </is>
      </c>
      <c r="C3" t="n">
        <v>76</v>
      </c>
      <c r="E3" t="inlineStr">
        <is>
          <t>Sim</t>
        </is>
      </c>
      <c r="F3" t="inlineStr"/>
      <c r="G3" t="inlineStr">
        <is>
          <t>REJ-ADV-FNN</t>
        </is>
      </c>
      <c r="H3" t="inlineStr">
        <is>
          <t>https://rejuranusa.com/products/advanced-face-neck-firming-cream</t>
        </is>
      </c>
    </row>
    <row r="4">
      <c r="A4" t="inlineStr">
        <is>
          <t>Advanced Intensive Pigment Corrector</t>
        </is>
      </c>
      <c r="B4" t="inlineStr">
        <is>
          <t>1 Bottle</t>
        </is>
      </c>
      <c r="C4" t="n">
        <v>72</v>
      </c>
      <c r="E4" t="inlineStr">
        <is>
          <t>Sim</t>
        </is>
      </c>
      <c r="F4" t="inlineStr"/>
      <c r="G4" t="inlineStr">
        <is>
          <t>REJ-ADV-PIG</t>
        </is>
      </c>
      <c r="H4" t="inlineStr">
        <is>
          <t>https://rejuranusa.com/products/advanced-intensive-pigment-corrector</t>
        </is>
      </c>
    </row>
    <row r="5">
      <c r="A5" t="inlineStr">
        <is>
          <t>Ampoule Infused Lifting Mask</t>
        </is>
      </c>
      <c r="B5" t="inlineStr">
        <is>
          <t>28g x 4ea (0.98 oz.)</t>
        </is>
      </c>
      <c r="C5" t="n">
        <v>25</v>
      </c>
      <c r="E5" t="inlineStr">
        <is>
          <t>Sim</t>
        </is>
      </c>
      <c r="F5" t="inlineStr"/>
      <c r="G5" t="inlineStr">
        <is>
          <t>REJ-HL-AIL</t>
        </is>
      </c>
      <c r="H5" t="inlineStr">
        <is>
          <t>https://rejuranusa.com/products/ampoule-infused-lifting-mask</t>
        </is>
      </c>
    </row>
    <row r="6">
      <c r="A6" t="inlineStr">
        <is>
          <t>Calming Lip Balm</t>
        </is>
      </c>
      <c r="B6" t="inlineStr">
        <is>
          <t>3.7g</t>
        </is>
      </c>
      <c r="C6" t="n">
        <v>29</v>
      </c>
      <c r="E6" t="inlineStr">
        <is>
          <t>Sim</t>
        </is>
      </c>
      <c r="F6" t="inlineStr"/>
      <c r="G6" t="inlineStr">
        <is>
          <t>REJ-HL-CAL</t>
        </is>
      </c>
      <c r="H6" t="inlineStr">
        <is>
          <t>https://rejuranusa.com/products/calming-lip-balm</t>
        </is>
      </c>
    </row>
    <row r="7">
      <c r="A7" t="inlineStr">
        <is>
          <t>Complete Moisture Routine</t>
        </is>
      </c>
      <c r="B7" t="inlineStr"/>
      <c r="C7" t="n">
        <v>175</v>
      </c>
      <c r="E7" t="inlineStr">
        <is>
          <t>Sim</t>
        </is>
      </c>
      <c r="F7" t="inlineStr">
        <is>
          <t>Sim</t>
        </is>
      </c>
      <c r="G7" t="inlineStr"/>
      <c r="H7" t="inlineStr">
        <is>
          <t>https://rejuranusa.com/products/complete-moisture-routine-1</t>
        </is>
      </c>
    </row>
    <row r="8">
      <c r="A8" t="inlineStr">
        <is>
          <t>Dual Effect Ampoule</t>
        </is>
      </c>
      <c r="B8" t="inlineStr">
        <is>
          <t>30mL (1.01 fl oz)</t>
        </is>
      </c>
      <c r="C8" t="n">
        <v>55</v>
      </c>
      <c r="E8" t="inlineStr">
        <is>
          <t>Sim</t>
        </is>
      </c>
      <c r="F8" t="inlineStr"/>
      <c r="G8" t="inlineStr">
        <is>
          <t>REJ-HL-DUA</t>
        </is>
      </c>
      <c r="H8" t="inlineStr">
        <is>
          <t>https://rejuranusa.com/products/dual-effect-ampoule?variant=47922401607923</t>
        </is>
      </c>
    </row>
    <row r="9">
      <c r="A9" t="inlineStr">
        <is>
          <t>Dual Effect Ampoule</t>
        </is>
      </c>
      <c r="B9" t="inlineStr">
        <is>
          <t>50mL (1.69 fl oz)</t>
        </is>
      </c>
      <c r="C9" t="n">
        <v>75</v>
      </c>
      <c r="E9" t="inlineStr">
        <is>
          <t>Sim</t>
        </is>
      </c>
      <c r="F9" t="inlineStr"/>
      <c r="G9" t="inlineStr">
        <is>
          <t>REJ-HL-DUA50</t>
        </is>
      </c>
      <c r="H9" t="inlineStr">
        <is>
          <t>https://rejuranusa.com/products/dual-effect-ampoule?variant=48786092130547</t>
        </is>
      </c>
    </row>
    <row r="10">
      <c r="A10" t="inlineStr">
        <is>
          <t>Intensive Eye Cream</t>
        </is>
      </c>
      <c r="B10" t="inlineStr"/>
      <c r="C10" t="n">
        <v>69</v>
      </c>
      <c r="E10" t="inlineStr">
        <is>
          <t>Sim</t>
        </is>
      </c>
      <c r="F10" t="inlineStr"/>
      <c r="G10" t="inlineStr">
        <is>
          <t>REJ-HL-EYE</t>
        </is>
      </c>
      <c r="H10" t="inlineStr">
        <is>
          <t>https://rejuranusa.com/products/intensive-eye-cream</t>
        </is>
      </c>
    </row>
    <row r="11">
      <c r="A11" t="inlineStr">
        <is>
          <t>Moisture Bubble Cleansing Water</t>
        </is>
      </c>
      <c r="B11" t="inlineStr">
        <is>
          <t>5.07 fl oz</t>
        </is>
      </c>
      <c r="C11" t="n">
        <v>25</v>
      </c>
      <c r="E11" t="inlineStr">
        <is>
          <t>Sim</t>
        </is>
      </c>
      <c r="F11" t="inlineStr"/>
      <c r="G11" t="inlineStr">
        <is>
          <t>REJ-MO-CLW</t>
        </is>
      </c>
      <c r="H11" t="inlineStr">
        <is>
          <t>https://rejuranusa.com/products/moisture-bubble-cleansing-water</t>
        </is>
      </c>
    </row>
    <row r="12">
      <c r="A12" t="inlineStr">
        <is>
          <t>Moisture Cream</t>
        </is>
      </c>
      <c r="B12" t="inlineStr"/>
      <c r="C12" t="n">
        <v>33</v>
      </c>
      <c r="E12" t="inlineStr">
        <is>
          <t>Sim</t>
        </is>
      </c>
      <c r="F12" t="inlineStr"/>
      <c r="G12" t="inlineStr">
        <is>
          <t>REJ-MO-CRM</t>
        </is>
      </c>
      <c r="H12" t="inlineStr">
        <is>
          <t>https://rejuranusa.com/products/moisture-treatment-cream</t>
        </is>
      </c>
    </row>
    <row r="13">
      <c r="A13" t="inlineStr">
        <is>
          <t>Moisture Treatment Ampoule</t>
        </is>
      </c>
      <c r="B13" t="inlineStr">
        <is>
          <t>30mL (1.01 fl oz)</t>
        </is>
      </c>
      <c r="C13" t="n">
        <v>39</v>
      </c>
      <c r="E13" t="inlineStr">
        <is>
          <t>Sim</t>
        </is>
      </c>
      <c r="F13" t="inlineStr"/>
      <c r="G13" t="inlineStr">
        <is>
          <t>REJ-MO-AMP</t>
        </is>
      </c>
      <c r="H13" t="inlineStr">
        <is>
          <t>https://rejuranusa.com/products/moisture-treatment-ampoule</t>
        </is>
      </c>
    </row>
    <row r="14">
      <c r="A14" t="inlineStr">
        <is>
          <t>Moisture Treatment Essence</t>
        </is>
      </c>
      <c r="B14" t="inlineStr">
        <is>
          <t>70mL (2.46 fl oz)</t>
        </is>
      </c>
      <c r="C14" t="n">
        <v>36</v>
      </c>
      <c r="E14" t="inlineStr">
        <is>
          <t>Sim</t>
        </is>
      </c>
      <c r="F14" t="inlineStr"/>
      <c r="G14" t="inlineStr">
        <is>
          <t>REJ-MO-ESS</t>
        </is>
      </c>
      <c r="H14" t="inlineStr">
        <is>
          <t>https://rejuranusa.com/products/moisture-treatment-essence</t>
        </is>
      </c>
    </row>
    <row r="15">
      <c r="A15" t="inlineStr">
        <is>
          <t>Moisture Treatment Mask</t>
        </is>
      </c>
      <c r="B15" t="inlineStr">
        <is>
          <t>5 Sheets</t>
        </is>
      </c>
      <c r="C15" t="n">
        <v>18</v>
      </c>
      <c r="E15" t="inlineStr">
        <is>
          <t>Sim</t>
        </is>
      </c>
      <c r="F15" t="inlineStr"/>
      <c r="G15" t="inlineStr">
        <is>
          <t>REJ-MO-MSK</t>
        </is>
      </c>
      <c r="H15" t="inlineStr">
        <is>
          <t>https://rejuranusa.com/products/moisture-treatment-mask</t>
        </is>
      </c>
    </row>
    <row r="16">
      <c r="A16" t="inlineStr">
        <is>
          <t>Moisture Treatment Toner</t>
        </is>
      </c>
      <c r="B16" t="inlineStr">
        <is>
          <t>150mL (5.07 fl oz)</t>
        </is>
      </c>
      <c r="C16" t="n">
        <v>24</v>
      </c>
      <c r="E16" t="inlineStr">
        <is>
          <t>Sim</t>
        </is>
      </c>
      <c r="F16" t="inlineStr"/>
      <c r="G16" t="inlineStr">
        <is>
          <t>REJ-MO-TON</t>
        </is>
      </c>
      <c r="H16" t="inlineStr">
        <is>
          <t>https://rejuranusa.com/products/moisture-treatment-toner</t>
        </is>
      </c>
    </row>
    <row r="17">
      <c r="A17" t="inlineStr">
        <is>
          <t>Moisture Trio</t>
        </is>
      </c>
      <c r="B17" t="inlineStr"/>
      <c r="C17" t="n">
        <v>96</v>
      </c>
      <c r="E17" t="inlineStr">
        <is>
          <t>Sim</t>
        </is>
      </c>
      <c r="F17" t="inlineStr">
        <is>
          <t>Sim</t>
        </is>
      </c>
      <c r="G17" t="inlineStr"/>
      <c r="H17" t="inlineStr">
        <is>
          <t>https://rejuranusa.com/products/moisture-trio</t>
        </is>
      </c>
    </row>
    <row r="18">
      <c r="A18" t="inlineStr">
        <is>
          <t>Nutritive Cream</t>
        </is>
      </c>
      <c r="B18" t="inlineStr">
        <is>
          <t>1 Jar</t>
        </is>
      </c>
      <c r="C18" t="n">
        <v>54</v>
      </c>
      <c r="E18" t="inlineStr">
        <is>
          <t>Sim</t>
        </is>
      </c>
      <c r="F18" t="inlineStr"/>
      <c r="G18" t="inlineStr">
        <is>
          <t>REJ-HL-NUC-USA</t>
        </is>
      </c>
      <c r="H18" t="inlineStr">
        <is>
          <t>https://rejuranusa.com/products/healer-nutritive-cream</t>
        </is>
      </c>
    </row>
    <row r="19">
      <c r="A19" t="inlineStr">
        <is>
          <t>Perfect V Tighter</t>
        </is>
      </c>
      <c r="B19" t="inlineStr">
        <is>
          <t>28g x 4ea (0.98 oz.)</t>
        </is>
      </c>
      <c r="C19" t="n">
        <v>28</v>
      </c>
      <c r="E19" t="inlineStr">
        <is>
          <t>Sim</t>
        </is>
      </c>
      <c r="F19" t="inlineStr"/>
      <c r="G19" t="inlineStr">
        <is>
          <t>REJ-HL-VTI</t>
        </is>
      </c>
      <c r="H19" t="inlineStr">
        <is>
          <t>https://rejuranusa.com/products/perfect-v-tighter</t>
        </is>
      </c>
    </row>
    <row r="20">
      <c r="A20" t="inlineStr">
        <is>
          <t>Pore Refining Routine</t>
        </is>
      </c>
      <c r="B20" t="inlineStr"/>
      <c r="C20" t="n">
        <v>94</v>
      </c>
      <c r="E20" t="inlineStr">
        <is>
          <t>Sim</t>
        </is>
      </c>
      <c r="F20" t="inlineStr">
        <is>
          <t>Sim</t>
        </is>
      </c>
      <c r="G20" t="inlineStr"/>
      <c r="H20" t="inlineStr">
        <is>
          <t>https://rejuranusa.com/products/pore-refining-routine</t>
        </is>
      </c>
    </row>
    <row r="21">
      <c r="A21" t="inlineStr">
        <is>
          <t>Pore Tightening Ampoule</t>
        </is>
      </c>
      <c r="B21" t="inlineStr">
        <is>
          <t>30mL (1.01 fl oz)</t>
        </is>
      </c>
      <c r="C21" t="n">
        <v>42</v>
      </c>
      <c r="E21" t="inlineStr">
        <is>
          <t>Sim</t>
        </is>
      </c>
      <c r="F21" t="inlineStr"/>
      <c r="G21" t="inlineStr">
        <is>
          <t>REJ-PO-AMP</t>
        </is>
      </c>
      <c r="H21" t="inlineStr">
        <is>
          <t>https://rejuranusa.com/products/pore-tightening-ampoule</t>
        </is>
      </c>
    </row>
    <row r="22">
      <c r="A22" t="inlineStr">
        <is>
          <t>Pore Tightening Cleansing Balm</t>
        </is>
      </c>
      <c r="B22" t="inlineStr">
        <is>
          <t>220mL (7.43 fl oz)</t>
        </is>
      </c>
      <c r="C22" t="n">
        <v>25</v>
      </c>
      <c r="E22" t="inlineStr">
        <is>
          <t>Sim</t>
        </is>
      </c>
      <c r="F22" t="inlineStr"/>
      <c r="G22" t="inlineStr">
        <is>
          <t>REJ-PO-CLB</t>
        </is>
      </c>
      <c r="H22" t="inlineStr">
        <is>
          <t>https://rejuranusa.com/products/pore-tightening-cleansing-balm</t>
        </is>
      </c>
    </row>
    <row r="23">
      <c r="A23" t="inlineStr">
        <is>
          <t>Pore Tightening Gel Mask</t>
        </is>
      </c>
      <c r="B23" t="inlineStr">
        <is>
          <t>5 Sheets</t>
        </is>
      </c>
      <c r="C23" t="n">
        <v>29</v>
      </c>
      <c r="E23" t="inlineStr">
        <is>
          <t>Sim</t>
        </is>
      </c>
      <c r="F23" t="inlineStr"/>
      <c r="G23" t="inlineStr">
        <is>
          <t>REJ-PO-GMK</t>
        </is>
      </c>
      <c r="H23" t="inlineStr">
        <is>
          <t>https://rejuranusa.com/products/pore-tightening-gel-mask</t>
        </is>
      </c>
    </row>
    <row r="24">
      <c r="A24" t="inlineStr">
        <is>
          <t>Pore Tightening Toner Pad</t>
        </is>
      </c>
      <c r="B24" t="inlineStr">
        <is>
          <t>220mL (7.43 fl oz)</t>
        </is>
      </c>
      <c r="C24" t="n">
        <v>29</v>
      </c>
      <c r="E24" t="inlineStr">
        <is>
          <t>Sim</t>
        </is>
      </c>
      <c r="F24" t="inlineStr"/>
      <c r="G24" t="inlineStr">
        <is>
          <t>REJ-PO-PAD</t>
        </is>
      </c>
      <c r="H24" t="inlineStr">
        <is>
          <t>https://rejuranusa.com/products/pore-tightening-toner-pad</t>
        </is>
      </c>
    </row>
    <row r="25">
      <c r="A25" t="inlineStr">
        <is>
          <t>Rebalancing Toner</t>
        </is>
      </c>
      <c r="B25" t="inlineStr">
        <is>
          <t>1 Bottle</t>
        </is>
      </c>
      <c r="C25" t="n">
        <v>39</v>
      </c>
      <c r="E25" t="inlineStr">
        <is>
          <t>Sim</t>
        </is>
      </c>
      <c r="F25" t="inlineStr"/>
      <c r="G25" t="inlineStr">
        <is>
          <t>REJ-HL-RTO</t>
        </is>
      </c>
      <c r="H25" t="inlineStr">
        <is>
          <t>https://rejuranusa.com/products/rebalancing-toner</t>
        </is>
      </c>
    </row>
    <row r="26">
      <c r="A26" t="inlineStr">
        <is>
          <t>Recover Duo</t>
        </is>
      </c>
      <c r="B26" t="inlineStr"/>
      <c r="C26" t="n">
        <v>218</v>
      </c>
      <c r="E26" t="inlineStr">
        <is>
          <t>Sim</t>
        </is>
      </c>
      <c r="F26" t="inlineStr">
        <is>
          <t>Sim</t>
        </is>
      </c>
      <c r="G26" t="inlineStr"/>
      <c r="H26" t="inlineStr">
        <is>
          <t>https://rejuranusa.com/products/recover-duo</t>
        </is>
      </c>
    </row>
    <row r="27">
      <c r="A27" t="inlineStr">
        <is>
          <t>Recover Firming Cream</t>
        </is>
      </c>
      <c r="B27" t="inlineStr">
        <is>
          <t>50mL (1.69 fl oz)</t>
        </is>
      </c>
      <c r="C27" t="n">
        <v>89</v>
      </c>
      <c r="E27" t="inlineStr">
        <is>
          <t>Sim</t>
        </is>
      </c>
      <c r="F27" t="inlineStr"/>
      <c r="G27" t="inlineStr">
        <is>
          <t>REJ-REC-FMC</t>
        </is>
      </c>
      <c r="H27" t="inlineStr">
        <is>
          <t>https://rejuranusa.com/products/recover-firming-cream</t>
        </is>
      </c>
    </row>
    <row r="28">
      <c r="A28" t="inlineStr">
        <is>
          <t>Recover c-PDRN® Lifting Ampoule</t>
        </is>
      </c>
      <c r="B28" t="inlineStr">
        <is>
          <t>2mL (0.06 fl oz)  * 14 Vials</t>
        </is>
      </c>
      <c r="C28" t="n">
        <v>129</v>
      </c>
      <c r="E28" t="inlineStr">
        <is>
          <t>Sim</t>
        </is>
      </c>
      <c r="F28" t="inlineStr"/>
      <c r="G28" t="inlineStr">
        <is>
          <t>REJ-REC-LAM</t>
        </is>
      </c>
      <c r="H28" t="inlineStr">
        <is>
          <t>https://rejuranusa.com/products/recover-c-pdrn-lifting-ampoule</t>
        </is>
      </c>
    </row>
    <row r="29">
      <c r="A29" t="inlineStr">
        <is>
          <t>Refreshing Emulsion</t>
        </is>
      </c>
      <c r="B29" t="inlineStr"/>
      <c r="C29" t="n">
        <v>44</v>
      </c>
      <c r="E29" t="inlineStr">
        <is>
          <t>Sim</t>
        </is>
      </c>
      <c r="F29" t="inlineStr"/>
      <c r="G29" t="inlineStr">
        <is>
          <t>REJ-HL-REM</t>
        </is>
      </c>
      <c r="H29" t="inlineStr">
        <is>
          <t>https://rejuranusa.com/products/refreshing-emulsion</t>
        </is>
      </c>
    </row>
    <row r="30">
      <c r="A30" t="inlineStr">
        <is>
          <t>Skin Barrier Duo Set</t>
        </is>
      </c>
      <c r="B30" t="inlineStr"/>
      <c r="C30" t="n">
        <v>74</v>
      </c>
      <c r="E30" t="inlineStr">
        <is>
          <t>Sim</t>
        </is>
      </c>
      <c r="F30" t="inlineStr">
        <is>
          <t>Sim</t>
        </is>
      </c>
      <c r="G30" t="inlineStr"/>
      <c r="H30" t="inlineStr">
        <is>
          <t>https://rejuranusa.com/products/skin-barrier-duo-set</t>
        </is>
      </c>
    </row>
    <row r="31">
      <c r="A31" t="inlineStr">
        <is>
          <t>Skin Barrier Sun Care Duo + Dual Effect Ampoule</t>
        </is>
      </c>
      <c r="B31" t="inlineStr">
        <is>
          <t>30mL (1.01 fl oz)</t>
        </is>
      </c>
      <c r="C31" t="n">
        <v>129</v>
      </c>
      <c r="E31" t="inlineStr">
        <is>
          <t>Sim</t>
        </is>
      </c>
      <c r="F31" t="inlineStr">
        <is>
          <t>Sim</t>
        </is>
      </c>
      <c r="G31" t="inlineStr"/>
      <c r="H31" t="inlineStr">
        <is>
          <t>https://rejuranusa.com/products/skin-barrier-sun-care-duo-dual-effect-ampoule?variant=51105692680435</t>
        </is>
      </c>
    </row>
    <row r="32">
      <c r="A32" t="inlineStr">
        <is>
          <t>Skin Barrier Sun Care Duo + Dual Effect Ampoule</t>
        </is>
      </c>
      <c r="B32" t="inlineStr">
        <is>
          <t>50mL (1.69 fl oz)</t>
        </is>
      </c>
      <c r="C32" t="n">
        <v>149</v>
      </c>
      <c r="E32" t="inlineStr">
        <is>
          <t>Sim</t>
        </is>
      </c>
      <c r="F32" t="inlineStr">
        <is>
          <t>Sim</t>
        </is>
      </c>
      <c r="G32" t="inlineStr"/>
      <c r="H32" t="inlineStr">
        <is>
          <t>https://rejuranusa.com/products/skin-barrier-sun-care-duo-dual-effect-ampoule?variant=51105692713203</t>
        </is>
      </c>
    </row>
    <row r="33">
      <c r="A33" t="inlineStr">
        <is>
          <t>Skin Barrier Sun Care Duo + Turnover Ampoule</t>
        </is>
      </c>
      <c r="B33" t="inlineStr">
        <is>
          <t>30mL (1.01 fl oz)</t>
        </is>
      </c>
      <c r="C33" t="n">
        <v>126</v>
      </c>
      <c r="E33" t="inlineStr">
        <is>
          <t>Sim</t>
        </is>
      </c>
      <c r="F33" t="inlineStr">
        <is>
          <t>Sim</t>
        </is>
      </c>
      <c r="G33" t="inlineStr"/>
      <c r="H33" t="inlineStr">
        <is>
          <t>https://rejuranusa.com/products/skin-barrier-sun-care-duo-turnover-ampoule?variant=51105677476083</t>
        </is>
      </c>
    </row>
    <row r="34">
      <c r="A34" t="inlineStr">
        <is>
          <t>Skin Barrier Sun Care Duo + Turnover Ampoule</t>
        </is>
      </c>
      <c r="B34" t="inlineStr">
        <is>
          <t>50mL (1.69 fl oz)</t>
        </is>
      </c>
      <c r="C34" t="n">
        <v>146</v>
      </c>
      <c r="E34" t="inlineStr">
        <is>
          <t>Sim</t>
        </is>
      </c>
      <c r="F34" t="inlineStr">
        <is>
          <t>Sim</t>
        </is>
      </c>
      <c r="G34" t="inlineStr"/>
      <c r="H34" t="inlineStr">
        <is>
          <t>https://rejuranusa.com/products/skin-barrier-sun-care-duo-turnover-ampoule?variant=51105677508851</t>
        </is>
      </c>
    </row>
    <row r="35">
      <c r="A35" t="inlineStr">
        <is>
          <t>Skin Barrier Sun Stick</t>
        </is>
      </c>
      <c r="B35" t="inlineStr">
        <is>
          <t>22g (0.77 oz.)</t>
        </is>
      </c>
      <c r="C35" t="n">
        <v>34</v>
      </c>
      <c r="E35" t="inlineStr">
        <is>
          <t>Sim</t>
        </is>
      </c>
      <c r="F35" t="inlineStr"/>
      <c r="G35" t="inlineStr">
        <is>
          <t>REJ-SB-STK</t>
        </is>
      </c>
      <c r="H35" t="inlineStr">
        <is>
          <t>https://rejuranusa.com/products/skin-barrier-sun-stick</t>
        </is>
      </c>
    </row>
    <row r="36">
      <c r="A36" t="inlineStr">
        <is>
          <t>Skin Barrier Sunscreen</t>
        </is>
      </c>
      <c r="B36" t="inlineStr">
        <is>
          <t>40mL (1.35 fl oz)</t>
        </is>
      </c>
      <c r="C36" t="n">
        <v>40</v>
      </c>
      <c r="E36" t="inlineStr">
        <is>
          <t>Sim</t>
        </is>
      </c>
      <c r="F36" t="inlineStr"/>
      <c r="G36" t="inlineStr">
        <is>
          <t>REJ-SB-SCRN</t>
        </is>
      </c>
      <c r="H36" t="inlineStr">
        <is>
          <t>https://rejuranusa.com/products/skin-barrier-sunscreen</t>
        </is>
      </c>
    </row>
    <row r="37">
      <c r="A37" t="inlineStr">
        <is>
          <t>Skin Reset Ritual</t>
        </is>
      </c>
      <c r="B37" t="inlineStr"/>
      <c r="C37" t="n">
        <v>99</v>
      </c>
      <c r="E37" t="inlineStr">
        <is>
          <t>Sim</t>
        </is>
      </c>
      <c r="F37" t="inlineStr"/>
      <c r="G37" t="inlineStr"/>
      <c r="H37" t="inlineStr">
        <is>
          <t>https://rejuranusa.com/products/skin-reset-ritual</t>
        </is>
      </c>
    </row>
    <row r="38">
      <c r="A38" t="inlineStr">
        <is>
          <t>The Glow Trio</t>
        </is>
      </c>
      <c r="B38" t="inlineStr"/>
      <c r="C38" t="n">
        <v>104</v>
      </c>
      <c r="E38" t="inlineStr">
        <is>
          <t>Sim</t>
        </is>
      </c>
      <c r="F38" t="inlineStr">
        <is>
          <t>Sim</t>
        </is>
      </c>
      <c r="G38" t="inlineStr">
        <is>
          <t>REJ-HL-GLW-V</t>
        </is>
      </c>
      <c r="H38" t="inlineStr">
        <is>
          <t>https://rejuranusa.com/products/the-glow-trio-v-day</t>
        </is>
      </c>
    </row>
    <row r="39">
      <c r="A39" t="inlineStr">
        <is>
          <t>Triple Radiance Ampoule</t>
        </is>
      </c>
      <c r="B39" t="inlineStr">
        <is>
          <t>30mL (1.01 fl oz)</t>
        </is>
      </c>
      <c r="C39" t="n">
        <v>57</v>
      </c>
      <c r="E39" t="inlineStr">
        <is>
          <t>Sim</t>
        </is>
      </c>
      <c r="F39" t="inlineStr"/>
      <c r="G39" t="inlineStr">
        <is>
          <t>REJ-HL-TRA</t>
        </is>
      </c>
      <c r="H39" t="inlineStr">
        <is>
          <t>https://rejuranusa.com/products/triple-radiance-ampoule?variant=48745099985139</t>
        </is>
      </c>
    </row>
    <row r="40">
      <c r="A40" t="inlineStr">
        <is>
          <t>Triple Radiance Ampoule</t>
        </is>
      </c>
      <c r="B40" t="inlineStr">
        <is>
          <t>50mL (1.69 fl oz)</t>
        </is>
      </c>
      <c r="C40" t="n">
        <v>77</v>
      </c>
      <c r="E40" t="inlineStr">
        <is>
          <t>Sim</t>
        </is>
      </c>
      <c r="F40" t="inlineStr"/>
      <c r="G40" t="inlineStr">
        <is>
          <t>REJ-HL-TRA50</t>
        </is>
      </c>
      <c r="H40" t="inlineStr">
        <is>
          <t>https://rejuranusa.com/products/triple-radiance-ampoule?variant=48786093900019</t>
        </is>
      </c>
    </row>
    <row r="41">
      <c r="A41" t="inlineStr">
        <is>
          <t>Triple Radiance Cream</t>
        </is>
      </c>
      <c r="B41" t="inlineStr"/>
      <c r="C41" t="n">
        <v>44</v>
      </c>
      <c r="E41" t="inlineStr">
        <is>
          <t>Sim</t>
        </is>
      </c>
      <c r="F41" t="inlineStr"/>
      <c r="G41" t="inlineStr">
        <is>
          <t>REJ-HL-TRC</t>
        </is>
      </c>
      <c r="H41" t="inlineStr">
        <is>
          <t>https://rejuranusa.com/products/triple-radiance-cream</t>
        </is>
      </c>
    </row>
    <row r="42">
      <c r="A42" t="inlineStr">
        <is>
          <t>Triple Radiance Duo</t>
        </is>
      </c>
      <c r="B42" t="inlineStr"/>
      <c r="C42" t="n">
        <v>101</v>
      </c>
      <c r="E42" t="inlineStr">
        <is>
          <t>Sim</t>
        </is>
      </c>
      <c r="F42" t="inlineStr">
        <is>
          <t>Sim</t>
        </is>
      </c>
      <c r="G42" t="inlineStr"/>
      <c r="H42" t="inlineStr">
        <is>
          <t>https://rejuranusa.com/products/triple-radiance-duo</t>
        </is>
      </c>
    </row>
    <row r="43">
      <c r="A43" t="inlineStr">
        <is>
          <t>Turnover Ampoule</t>
        </is>
      </c>
      <c r="B43" t="inlineStr">
        <is>
          <t>30mL (1.01 fl oz)</t>
        </is>
      </c>
      <c r="C43" t="n">
        <v>52</v>
      </c>
      <c r="E43" t="inlineStr">
        <is>
          <t>Sim</t>
        </is>
      </c>
      <c r="F43" t="inlineStr"/>
      <c r="G43" t="inlineStr">
        <is>
          <t>REJ-HL-TAM</t>
        </is>
      </c>
      <c r="H43" t="inlineStr">
        <is>
          <t>https://rejuranusa.com/products/healer-turnover-ampoule?variant=43533820264691</t>
        </is>
      </c>
    </row>
    <row r="44">
      <c r="A44" t="inlineStr">
        <is>
          <t>Turnover Ampoule</t>
        </is>
      </c>
      <c r="B44" t="inlineStr">
        <is>
          <t>50mL (1.69 fl oz)</t>
        </is>
      </c>
      <c r="C44" t="n">
        <v>72</v>
      </c>
      <c r="E44" t="inlineStr">
        <is>
          <t>Sim</t>
        </is>
      </c>
      <c r="F44" t="inlineStr"/>
      <c r="G44" t="inlineStr">
        <is>
          <t>REJ-HL-TAM50</t>
        </is>
      </c>
      <c r="H44" t="inlineStr">
        <is>
          <t>https://rejuranusa.com/products/healer-turnover-ampoule?variant=48786093211891</t>
        </is>
      </c>
    </row>
    <row r="45">
      <c r="A45" t="inlineStr">
        <is>
          <t>Turnover Cream Enhanced</t>
        </is>
      </c>
      <c r="B45" t="inlineStr">
        <is>
          <t>50 mL / 1.69 fl oz</t>
        </is>
      </c>
      <c r="C45" t="n">
        <v>40</v>
      </c>
      <c r="E45" t="inlineStr">
        <is>
          <t>Sim</t>
        </is>
      </c>
      <c r="F45" t="inlineStr"/>
      <c r="G45" t="inlineStr">
        <is>
          <t>REJ-HL-TCRE</t>
        </is>
      </c>
      <c r="H45" t="inlineStr">
        <is>
          <t>https://rejuranusa.com/products/turnover-cream-enhanced</t>
        </is>
      </c>
    </row>
    <row r="46">
      <c r="A46" t="inlineStr">
        <is>
          <t>Turnover Mask</t>
        </is>
      </c>
      <c r="B46" t="inlineStr">
        <is>
          <t>1 Box</t>
        </is>
      </c>
      <c r="C46" t="n">
        <v>23</v>
      </c>
      <c r="E46" t="inlineStr">
        <is>
          <t>Sim</t>
        </is>
      </c>
      <c r="F46" t="inlineStr"/>
      <c r="G46" t="inlineStr">
        <is>
          <t>REJ-HL-TMK</t>
        </is>
      </c>
      <c r="H46" t="inlineStr">
        <is>
          <t>https://rejuranusa.com/products/turnover-mask</t>
        </is>
      </c>
    </row>
    <row r="47">
      <c r="A47" t="inlineStr">
        <is>
          <t>Ultimate Skin Care Regimen V2</t>
        </is>
      </c>
      <c r="B47" t="inlineStr"/>
      <c r="C47" t="n">
        <v>139</v>
      </c>
      <c r="E47" t="inlineStr">
        <is>
          <t>Sim</t>
        </is>
      </c>
      <c r="F47" t="inlineStr"/>
      <c r="G47" t="inlineStr"/>
      <c r="H47" t="inlineStr">
        <is>
          <t>https://rejuranusa.com/products/ultimate-skin-care-regimen-v2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  <hyperlink xmlns:r="http://schemas.openxmlformats.org/officeDocument/2006/relationships" ref="H15" r:id="rId14"/>
    <hyperlink xmlns:r="http://schemas.openxmlformats.org/officeDocument/2006/relationships" ref="H16" r:id="rId15"/>
    <hyperlink xmlns:r="http://schemas.openxmlformats.org/officeDocument/2006/relationships" ref="H17" r:id="rId16"/>
    <hyperlink xmlns:r="http://schemas.openxmlformats.org/officeDocument/2006/relationships" ref="H18" r:id="rId17"/>
    <hyperlink xmlns:r="http://schemas.openxmlformats.org/officeDocument/2006/relationships" ref="H19" r:id="rId18"/>
    <hyperlink xmlns:r="http://schemas.openxmlformats.org/officeDocument/2006/relationships" ref="H20" r:id="rId19"/>
    <hyperlink xmlns:r="http://schemas.openxmlformats.org/officeDocument/2006/relationships" ref="H21" r:id="rId20"/>
    <hyperlink xmlns:r="http://schemas.openxmlformats.org/officeDocument/2006/relationships" ref="H22" r:id="rId21"/>
    <hyperlink xmlns:r="http://schemas.openxmlformats.org/officeDocument/2006/relationships" ref="H23" r:id="rId22"/>
    <hyperlink xmlns:r="http://schemas.openxmlformats.org/officeDocument/2006/relationships" ref="H24" r:id="rId23"/>
    <hyperlink xmlns:r="http://schemas.openxmlformats.org/officeDocument/2006/relationships" ref="H25" r:id="rId24"/>
    <hyperlink xmlns:r="http://schemas.openxmlformats.org/officeDocument/2006/relationships" ref="H26" r:id="rId25"/>
    <hyperlink xmlns:r="http://schemas.openxmlformats.org/officeDocument/2006/relationships" ref="H27" r:id="rId26"/>
    <hyperlink xmlns:r="http://schemas.openxmlformats.org/officeDocument/2006/relationships" ref="H28" r:id="rId27"/>
    <hyperlink xmlns:r="http://schemas.openxmlformats.org/officeDocument/2006/relationships" ref="H29" r:id="rId28"/>
    <hyperlink xmlns:r="http://schemas.openxmlformats.org/officeDocument/2006/relationships" ref="H30" r:id="rId29"/>
    <hyperlink xmlns:r="http://schemas.openxmlformats.org/officeDocument/2006/relationships" ref="H31" r:id="rId30"/>
    <hyperlink xmlns:r="http://schemas.openxmlformats.org/officeDocument/2006/relationships" ref="H32" r:id="rId31"/>
    <hyperlink xmlns:r="http://schemas.openxmlformats.org/officeDocument/2006/relationships" ref="H33" r:id="rId32"/>
    <hyperlink xmlns:r="http://schemas.openxmlformats.org/officeDocument/2006/relationships" ref="H34" r:id="rId33"/>
    <hyperlink xmlns:r="http://schemas.openxmlformats.org/officeDocument/2006/relationships" ref="H35" r:id="rId34"/>
    <hyperlink xmlns:r="http://schemas.openxmlformats.org/officeDocument/2006/relationships" ref="H36" r:id="rId35"/>
    <hyperlink xmlns:r="http://schemas.openxmlformats.org/officeDocument/2006/relationships" ref="H37" r:id="rId36"/>
    <hyperlink xmlns:r="http://schemas.openxmlformats.org/officeDocument/2006/relationships" ref="H38" r:id="rId37"/>
    <hyperlink xmlns:r="http://schemas.openxmlformats.org/officeDocument/2006/relationships" ref="H39" r:id="rId38"/>
    <hyperlink xmlns:r="http://schemas.openxmlformats.org/officeDocument/2006/relationships" ref="H40" r:id="rId39"/>
    <hyperlink xmlns:r="http://schemas.openxmlformats.org/officeDocument/2006/relationships" ref="H41" r:id="rId40"/>
    <hyperlink xmlns:r="http://schemas.openxmlformats.org/officeDocument/2006/relationships" ref="H42" r:id="rId41"/>
    <hyperlink xmlns:r="http://schemas.openxmlformats.org/officeDocument/2006/relationships" ref="H43" r:id="rId42"/>
    <hyperlink xmlns:r="http://schemas.openxmlformats.org/officeDocument/2006/relationships" ref="H44" r:id="rId43"/>
    <hyperlink xmlns:r="http://schemas.openxmlformats.org/officeDocument/2006/relationships" ref="H45" r:id="rId44"/>
    <hyperlink xmlns:r="http://schemas.openxmlformats.org/officeDocument/2006/relationships" ref="H46" r:id="rId45"/>
    <hyperlink xmlns:r="http://schemas.openxmlformats.org/officeDocument/2006/relationships" ref="H47" r:id="rId4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t="inlineStr">
        <is>
          <t>Câmbio US$ → R$</t>
        </is>
      </c>
      <c r="B1" t="n">
        <v>5.4</v>
      </c>
    </row>
    <row r="2">
      <c r="A2" t="inlineStr">
        <is>
          <t>Acréscimo sobre o preço do exterior</t>
        </is>
      </c>
      <c r="B2" s="6" t="n">
        <v>0.2</v>
      </c>
    </row>
    <row r="4">
      <c r="A4" t="inlineStr">
        <is>
          <t>Mude os valores acima e a coluna "Mercadoria sugerida" recalcula.</t>
        </is>
      </c>
    </row>
    <row r="5">
      <c r="A5" t="inlineStr">
        <is>
          <t>Site oficial: https://rejuranusa.com · loja "REJURAN" · moeda USD · lido em 30/10/2026 06:05 UTC</t>
        </is>
      </c>
    </row>
    <row r="6">
      <c r="A6" t="inlineStr">
        <is>
          <t>Regra (Guia de precificação OMG): produto sem concorrente válido → varejo no exterior em US$ + 20%, convertido = preço da mercadoria no site. Frete e impostos entram no checkout.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2026-10-30T06:05:33Z</dcterms:created>
  <dcterms:modified xsi:type="dcterms:W3CDTF">2026-10-30T06:05:33Z</dcterms:modified>
</cp:coreProperties>
</file>